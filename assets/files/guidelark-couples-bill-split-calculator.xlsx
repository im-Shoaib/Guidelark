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Spli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<sst xmlns="http://schemas.openxmlformats.org/spreadsheetml/2006/main" count="32" uniqueCount="32">
  <si>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Couples bill split calculator</t>
  </si>
  <si>
    <t xml:space="preserve">How to use it</t>
  </si>
  <si>
    <t xml:space="preserve">1. Type each partner's monthly take-home pay.</t>
  </si>
  <si>
    <t xml:space="preserve">2. List the bills you share and their monthly amounts.</t>
  </si>
  <si>
    <t xml:space="preserve">3. Compare the two methods: half and half, or split by income.</t>
  </si>
  <si>
    <t xml:space="preserve">4. Look at the "keeps" columns. They show what each of you has left after the shared bills.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</si>
  <si>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</si>
  <si>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</si>
  <si>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https://guidelark.com/blog/how-couples-split-bills/</t>
  </si>
  <si>
    <t xml:space="preserve">Free to use and share. General information, not financial advice.</t>
  </si>
  <si>
    <t xml:space="preserve">Couples bill split</t>
  </si>
  <si>
    <t xml:space="preserve">Partner A take-home pay</t>
  </si>
  <si>
    <t xml:space="preserve">Partner B take-home pay</t>
  </si>
  <si>
    <t xml:space="preserve">Partner A share of income</t>
  </si>
  <si>
    <t xml:space="preserve">Partner B share of income</t>
  </si>
  <si>
    <t xml:space="preserve">Shared bill</t>
  </si>
  <si>
    <t xml:space="preserve">Monthly amount</t>
  </si>
  <si>
    <t xml:space="preserve">Rent</t>
  </si>
  <si>
    <t xml:space="preserve">Utilities</t>
  </si>
  <si>
    <t xml:space="preserve">Internet</t>
  </si>
  <si>
    <t xml:space="preserve">Groceries for the home</t>
  </si>
  <si>
    <t xml:space="preserve">Total shared bills</t>
  </si>
  <si>
    <t xml:space="preserve">Method</t>
  </si>
  <si>
    <t xml:space="preserve">A pays</t>
  </si>
  <si>
    <t xml:space="preserve">B pays</t>
  </si>
  <si>
    <t xml:space="preserve">A keeps</t>
  </si>
  <si>
    <t xml:space="preserve">B keeps</t>
  </si>
  <si>
    <t xml:space="preserve">A gives up</t>
  </si>
  <si>
    <t xml:space="preserve">B gives up</t>
  </si>
  <si>
    <t xml:space="preserve">Half and half</t>
  </si>
  <si>
    <t xml:space="preserve">Split by income</t>
  </si>
  <si>
    <t xml:space="preserve">With the income split, each of you gives up the same share of your own pay.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</si>
</sst>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[RED]&quot;-$&quot;#,##0.00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5607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14213D"/>
        <bgColor rgb="FF003366"/>
      </patternFill>
    </fill>
    <fill>
      <patternFill patternType="solid">
        <fgColor rgb="FFE4EFE0"/>
        <bgColor rgb="FFFFF4B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7" min="6" style="0" width="12"/>
  </cols>
  <sheetData>
    <row r="1" customFormat="false" ht="19.7" hidden="false" customHeight="false" outlineLevel="0" collapsed="false">
      <c r="A1" s="1" t="s">
        <v>10</v>
      </c>
    </row>
    <row r="3" customFormat="false" ht="15" hidden="false" customHeight="false" outlineLevel="0" collapsed="false">
      <c r="A3" s="4" t="s">
        <v>11</v>
      </c>
      <c r="B3" s="5" t="n">
        <v>2400</v>
      </c>
    </row>
    <row r="4" customFormat="false" ht="15" hidden="false" customHeight="false" outlineLevel="0" collapsed="false">
      <c r="A4" s="4" t="s">
        <v>12</v>
      </c>
      <c r="B4" s="5" t="n">
        <v>1600</v>
      </c>
    </row>
    <row r="5" customFormat="false" ht="15" hidden="false" customHeight="false" outlineLevel="0" collapsed="false">
      <c r="A5" s="4" t="s">
        <v>13</v>
      </c>
      <c r="B5" s="6" t="n">
        <f aca="false">IF(B3+B4=0,0,B3/(B3+B4))</f>
        <v>0.6</v>
      </c>
    </row>
    <row r="6" customFormat="false" ht="15" hidden="false" customHeight="false" outlineLevel="0" collapsed="false">
      <c r="A6" s="4" t="s">
        <v>14</v>
      </c>
      <c r="B6" s="6" t="n">
        <f aca="false">IF(B3+B4=0,0,B4/(B3+B4))</f>
        <v>0.4</v>
      </c>
    </row>
    <row r="8" customFormat="false" ht="26.85" hidden="false" customHeight="false" outlineLevel="0" collapsed="false">
      <c r="A8" s="7" t="s">
        <v>15</v>
      </c>
      <c r="B8" s="8" t="s">
        <v>16</v>
      </c>
    </row>
    <row r="9" customFormat="false" ht="15" hidden="false" customHeight="false" outlineLevel="0" collapsed="false">
      <c r="A9" s="9" t="s">
        <v>17</v>
      </c>
      <c r="B9" s="10" t="n">
        <v>1200</v>
      </c>
    </row>
    <row r="10" customFormat="false" ht="15" hidden="false" customHeight="false" outlineLevel="0" collapsed="false">
      <c r="A10" s="9" t="s">
        <v>18</v>
      </c>
      <c r="B10" s="10" t="n">
        <v>180</v>
      </c>
    </row>
    <row r="11" customFormat="false" ht="15" hidden="false" customHeight="false" outlineLevel="0" collapsed="false">
      <c r="A11" s="9" t="s">
        <v>19</v>
      </c>
      <c r="B11" s="10" t="n">
        <v>60</v>
      </c>
    </row>
    <row r="12" customFormat="false" ht="15" hidden="false" customHeight="false" outlineLevel="0" collapsed="false">
      <c r="A12" s="9" t="s">
        <v>20</v>
      </c>
      <c r="B12" s="10" t="n">
        <v>360</v>
      </c>
    </row>
    <row r="13" customFormat="false" ht="15" hidden="false" customHeight="false" outlineLevel="0" collapsed="false">
      <c r="A13" s="9"/>
      <c r="B13" s="10"/>
    </row>
    <row r="14" customFormat="false" ht="15" hidden="false" customHeight="false" outlineLevel="0" collapsed="false">
      <c r="A14" s="9"/>
      <c r="B14" s="10"/>
    </row>
    <row r="15" customFormat="false" ht="15" hidden="false" customHeight="false" outlineLevel="0" collapsed="false">
      <c r="A15" s="9"/>
      <c r="B15" s="10"/>
    </row>
    <row r="16" customFormat="false" ht="15" hidden="false" customHeight="false" outlineLevel="0" collapsed="false">
      <c r="A16" s="9"/>
      <c r="B16" s="10"/>
    </row>
    <row r="17" customFormat="false" ht="15" hidden="false" customHeight="false" outlineLevel="0" collapsed="false">
      <c r="A17" s="9"/>
      <c r="B17" s="10"/>
    </row>
    <row r="18" customFormat="false" ht="15" hidden="false" customHeight="false" outlineLevel="0" collapsed="false">
      <c r="A18" s="9"/>
      <c r="B18" s="10"/>
    </row>
    <row r="19" customFormat="false" ht="15" hidden="false" customHeight="false" outlineLevel="0" collapsed="false">
      <c r="A19" s="11" t="s">
        <v>21</v>
      </c>
      <c r="B19" s="12" t="n">
        <f aca="false">SUM(B9:B18)</f>
        <v>1800</v>
      </c>
    </row>
    <row r="21" customFormat="false" ht="30" hidden="false" customHeight="true" outlineLevel="0" collapsed="false">
      <c r="A21" s="7" t="s">
        <v>22</v>
      </c>
      <c r="B21" s="8" t="s">
        <v>23</v>
      </c>
      <c r="C21" s="8" t="s">
        <v>24</v>
      </c>
      <c r="D21" s="8" t="s">
        <v>25</v>
      </c>
      <c r="E21" s="8" t="s">
        <v>26</v>
      </c>
      <c r="F21" s="8" t="s">
        <v>27</v>
      </c>
      <c r="G21" s="8" t="s">
        <v>28</v>
      </c>
    </row>
    <row r="22" customFormat="false" ht="15" hidden="false" customHeight="false" outlineLevel="0" collapsed="false">
      <c r="A22" s="13" t="s">
        <v>29</v>
      </c>
      <c r="B22" s="14" t="n">
        <f aca="false">$B$19/2</f>
        <v>900</v>
      </c>
      <c r="C22" s="14" t="n">
        <f aca="false">$B$19/2</f>
        <v>900</v>
      </c>
      <c r="D22" s="14" t="n">
        <f aca="false">$B$3-B22</f>
        <v>1500</v>
      </c>
      <c r="E22" s="14" t="n">
        <f aca="false">$B$4-C22</f>
        <v>700</v>
      </c>
      <c r="F22" s="15" t="n">
        <f aca="false">IF($B$3=0,"",B22/$B$3)</f>
        <v>0.375</v>
      </c>
      <c r="G22" s="15" t="n">
        <f aca="false">IF($B$4=0,"",C22/$B$4)</f>
        <v>0.5625</v>
      </c>
    </row>
    <row r="23" customFormat="false" ht="15" hidden="false" customHeight="false" outlineLevel="0" collapsed="false">
      <c r="A23" s="13" t="s">
        <v>30</v>
      </c>
      <c r="B23" s="14" t="n">
        <f aca="false">$B$19*$B$5</f>
        <v>1080</v>
      </c>
      <c r="C23" s="14" t="n">
        <f aca="false">$B$19*$B$6</f>
        <v>720</v>
      </c>
      <c r="D23" s="14" t="n">
        <f aca="false">$B$3-B23</f>
        <v>1320</v>
      </c>
      <c r="E23" s="14" t="n">
        <f aca="false">$B$4-C23</f>
        <v>880</v>
      </c>
      <c r="F23" s="15" t="n">
        <f aca="false">IF($B$3=0,"",B23/$B$3)</f>
        <v>0.45</v>
      </c>
      <c r="G23" s="15" t="n">
        <f aca="false">IF($B$4=0,"",C23/$B$4)</f>
        <v>0.45</v>
      </c>
    </row>
    <row r="25" customFormat="false" ht="15" hidden="false" customHeight="false" outlineLevel="0" collapsed="false">
      <c r="A25" s="16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2026-10-20T13:00:31Z</dcterms:created>
  <dc:creator>openpyxl</dc:creator>
  <dc:description/>
  <dc:language>en-US</dc:language>
  <cp:lastModifiedBy/>
  <dcterms:modified xsi:type="dcterms:W3CDTF">2026-10-20T13:00:31Z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