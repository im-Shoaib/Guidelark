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<sst xmlns="http://schemas.openxmlformats.org/spreadsheetml/2006/main" count="36" uniqueCount="34">
  <si>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Emergency fund calculator</t>
  </si>
  <si>
    <t xml:space="preserve">How to use it</t>
  </si>
  <si>
    <t xml:space="preserve">1. Type what your essentials cost each month: the bills you would still have to pay if your income stopped.</t>
  </si>
  <si>
    <t xml:space="preserve">2. Type what you have saved already and how much you can add each month.</t>
  </si>
  <si>
    <t xml:space="preserve">3. Type the month you are starting.</t>
  </si>
  <si>
    <t xml:space="preserve">4. The table shows four targets, from a $500 starter fund to six months of essentials, with how long each will take.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</si>
  <si>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</si>
  <si>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</si>
  <si>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https://guidelark.com/blog/emergency-fund-calculator/</t>
  </si>
  <si>
    <t xml:space="preserve">Free to use and share. General information, not financial advice.</t>
  </si>
  <si>
    <t xml:space="preserve">Monthly essentials</t>
  </si>
  <si>
    <t xml:space="preserve">Amount</t>
  </si>
  <si>
    <t xml:space="preserve">Rent or housing</t>
  </si>
  <si>
    <t xml:space="preserve">Groceries</t>
  </si>
  <si>
    <t xml:space="preserve">Transport</t>
  </si>
  <si>
    <t xml:space="preserve">Utilities</t>
  </si>
  <si>
    <t xml:space="preserve">Phone and internet</t>
  </si>
  <si>
    <t xml:space="preserve">Insurance</t>
  </si>
  <si>
    <t xml:space="preserve">Debt minimums</t>
  </si>
  <si>
    <t xml:space="preserve">Other essentials</t>
  </si>
  <si>
    <t xml:space="preserve">Essentials per month</t>
  </si>
  <si>
    <t xml:space="preserve">Saved so far</t>
  </si>
  <si>
    <t xml:space="preserve">You can add each month</t>
  </si>
  <si>
    <t xml:space="preserve">Starting month</t>
  </si>
  <si>
    <t xml:space="preserve">Starter fund amount</t>
  </si>
  <si>
    <t xml:space="preserve">A common first target. Change it if you like.</t>
  </si>
  <si>
    <t xml:space="preserve">Target</t>
  </si>
  <si>
    <t xml:space="preserve">Still needed</t>
  </si>
  <si>
    <t xml:space="preserve">Months to reach</t>
  </si>
  <si>
    <t xml:space="preserve">Reached by</t>
  </si>
  <si>
    <t xml:space="preserve">Starter fund</t>
  </si>
  <si>
    <t xml:space="preserve">1 month of essentials</t>
  </si>
  <si>
    <t xml:space="preserve">3 months of essentials</t>
  </si>
  <si>
    <t xml:space="preserve">6 months of essentials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</si>
</sst>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[RED]&quot;-$&quot;#,##0.00;\-"/>
    <numFmt numFmtId="166" formatCode="yyyy\-mm\-dd"/>
    <numFmt numFmtId="167" formatCode="General"/>
    <numFmt numFmtId="168" formatCode="mmm\ 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4B8"/>
        <bgColor rgb="FFFFFF99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4" t="s">
        <v>10</v>
      </c>
      <c r="B3" s="5" t="s">
        <v>11</v>
      </c>
    </row>
    <row r="4" customFormat="false" ht="15" hidden="false" customHeight="false" outlineLevel="0" collapsed="false">
      <c r="A4" s="6" t="s">
        <v>12</v>
      </c>
      <c r="B4" s="7" t="n">
        <v>400</v>
      </c>
    </row>
    <row r="5" customFormat="false" ht="15" hidden="false" customHeight="false" outlineLevel="0" collapsed="false">
      <c r="A5" s="6" t="s">
        <v>13</v>
      </c>
      <c r="B5" s="7" t="n">
        <v>180</v>
      </c>
    </row>
    <row r="6" customFormat="false" ht="15" hidden="false" customHeight="false" outlineLevel="0" collapsed="false">
      <c r="A6" s="6" t="s">
        <v>14</v>
      </c>
      <c r="B6" s="7" t="n">
        <v>70</v>
      </c>
    </row>
    <row r="7" customFormat="false" ht="15" hidden="false" customHeight="false" outlineLevel="0" collapsed="false">
      <c r="A7" s="6" t="s">
        <v>15</v>
      </c>
      <c r="B7" s="7" t="n">
        <v>50</v>
      </c>
    </row>
    <row r="8" customFormat="false" ht="15" hidden="false" customHeight="false" outlineLevel="0" collapsed="false">
      <c r="A8" s="6" t="s">
        <v>16</v>
      </c>
      <c r="B8" s="7" t="n">
        <v>40</v>
      </c>
    </row>
    <row r="9" customFormat="false" ht="15" hidden="false" customHeight="false" outlineLevel="0" collapsed="false">
      <c r="A9" s="6" t="s">
        <v>17</v>
      </c>
      <c r="B9" s="7" t="n">
        <v>30</v>
      </c>
    </row>
    <row r="10" customFormat="false" ht="15" hidden="false" customHeight="false" outlineLevel="0" collapsed="false">
      <c r="A10" s="6" t="s">
        <v>18</v>
      </c>
      <c r="B10" s="7" t="n">
        <v>60</v>
      </c>
    </row>
    <row r="11" customFormat="false" ht="15" hidden="false" customHeight="false" outlineLevel="0" collapsed="false">
      <c r="A11" s="6" t="s">
        <v>19</v>
      </c>
      <c r="B11" s="7" t="n">
        <v>20</v>
      </c>
    </row>
    <row r="12" customFormat="false" ht="15" hidden="false" customHeight="false" outlineLevel="0" collapsed="false">
      <c r="A12" s="8" t="s">
        <v>20</v>
      </c>
      <c r="B12" s="9" t="n">
        <f aca="false">SUM(B4:B11)</f>
        <v>850</v>
      </c>
    </row>
    <row r="14" customFormat="false" ht="15" hidden="false" customHeight="false" outlineLevel="0" collapsed="false">
      <c r="A14" s="10" t="s">
        <v>21</v>
      </c>
      <c r="B14" s="11" t="n">
        <v>120</v>
      </c>
    </row>
    <row r="15" customFormat="false" ht="15" hidden="false" customHeight="false" outlineLevel="0" collapsed="false">
      <c r="A15" s="10" t="s">
        <v>22</v>
      </c>
      <c r="B15" s="11" t="n">
        <v>50</v>
      </c>
    </row>
    <row r="16" customFormat="false" ht="15" hidden="false" customHeight="false" outlineLevel="0" collapsed="false">
      <c r="A16" s="10" t="s">
        <v>23</v>
      </c>
      <c r="B16" s="12" t="n">
        <v>46296</v>
      </c>
    </row>
    <row r="17" customFormat="false" ht="15" hidden="false" customHeight="false" outlineLevel="0" collapsed="false">
      <c r="A17" s="10" t="s">
        <v>24</v>
      </c>
      <c r="B17" s="11" t="n">
        <v>500</v>
      </c>
      <c r="C17" s="13" t="s">
        <v>25</v>
      </c>
    </row>
    <row r="19" customFormat="false" ht="15" hidden="false" customHeight="false" outlineLevel="0" collapsed="false">
      <c r="A19" s="4" t="s">
        <v>26</v>
      </c>
      <c r="B19" s="5" t="s">
        <v>11</v>
      </c>
      <c r="C19" s="5" t="s">
        <v>27</v>
      </c>
      <c r="D19" s="5" t="s">
        <v>28</v>
      </c>
      <c r="E19" s="4" t="s">
        <v>29</v>
      </c>
    </row>
    <row r="20" customFormat="false" ht="15" hidden="false" customHeight="false" outlineLevel="0" collapsed="false">
      <c r="A20" s="14" t="s">
        <v>30</v>
      </c>
      <c r="B20" s="15" t="n">
        <f aca="false">B17</f>
        <v>500</v>
      </c>
      <c r="C20" s="15" t="n">
        <f aca="false">MAX(0,B20-$B$14)</f>
        <v>380</v>
      </c>
      <c r="D20" s="16" t="n">
        <f aca="false">IF(C20=0,"Done",IF($B$15&lt;=0,"Add a monthly amount",ROUNDUP(C20/$B$15,0)))</f>
        <v>8</v>
      </c>
      <c r="E20" s="17" t="n">
        <f aca="false">IF(ISNUMBER(D20),EDATE($B$16,D20),D20)</f>
        <v>46539</v>
      </c>
    </row>
    <row r="21" customFormat="false" ht="15" hidden="false" customHeight="false" outlineLevel="0" collapsed="false">
      <c r="A21" s="14" t="s">
        <v>31</v>
      </c>
      <c r="B21" s="15" t="n">
        <f aca="false">B12</f>
        <v>850</v>
      </c>
      <c r="C21" s="15" t="n">
        <f aca="false">MAX(0,B21-$B$14)</f>
        <v>730</v>
      </c>
      <c r="D21" s="16" t="n">
        <f aca="false">IF(C21=0,"Done",IF($B$15&lt;=0,"Add a monthly amount",ROUNDUP(C21/$B$15,0)))</f>
        <v>15</v>
      </c>
      <c r="E21" s="17" t="n">
        <f aca="false">IF(ISNUMBER(D21),EDATE($B$16,D21),D21)</f>
        <v>46753</v>
      </c>
    </row>
    <row r="22" customFormat="false" ht="15" hidden="false" customHeight="false" outlineLevel="0" collapsed="false">
      <c r="A22" s="14" t="s">
        <v>32</v>
      </c>
      <c r="B22" s="15" t="n">
        <f aca="false">B12*3</f>
        <v>2550</v>
      </c>
      <c r="C22" s="15" t="n">
        <f aca="false">MAX(0,B22-$B$14)</f>
        <v>2430</v>
      </c>
      <c r="D22" s="16" t="n">
        <f aca="false">IF(C22=0,"Done",IF($B$15&lt;=0,"Add a monthly amount",ROUNDUP(C22/$B$15,0)))</f>
        <v>49</v>
      </c>
      <c r="E22" s="17" t="n">
        <f aca="false">IF(ISNUMBER(D22),EDATE($B$16,D22),D22)</f>
        <v>47788</v>
      </c>
    </row>
    <row r="23" customFormat="false" ht="15" hidden="false" customHeight="false" outlineLevel="0" collapsed="false">
      <c r="A23" s="14" t="s">
        <v>33</v>
      </c>
      <c r="B23" s="15" t="n">
        <f aca="false">B12*6</f>
        <v>5100</v>
      </c>
      <c r="C23" s="15" t="n">
        <f aca="false">MAX(0,B23-$B$14)</f>
        <v>4980</v>
      </c>
      <c r="D23" s="16" t="n">
        <f aca="false">IF(C23=0,"Done",IF($B$15&lt;=0,"Add a monthly amount",ROUNDUP(C23/$B$15,0)))</f>
        <v>100</v>
      </c>
      <c r="E23" s="17" t="n">
        <f aca="false">IF(ISNUMBER(D23),EDATE($B$16,D23),D23)</f>
        <v>49341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2026-10-13T12:27:59Z</dcterms:created>
  <dc:creator>openpyxl</dc:creator>
  <dc:description/>
  <dc:language>en-US</dc:language>
  <cp:lastModifiedBy/>
  <dcterms:modified xsi:type="dcterms:W3CDTF">2026-10-13T12:27:59Z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