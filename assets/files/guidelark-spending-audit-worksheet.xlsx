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Aud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<sst xmlns="http://schemas.openxmlformats.org/spreadsheetml/2006/main" count="33" uniqueCount="33">
  <si>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Spending audit worksheet</t>
  </si>
  <si>
    <t xml:space="preserve">How to use it</t>
  </si>
  <si>
    <t xml:space="preserve">1. Before you look at any statement, guess what you spend in a month in each category.</t>
  </si>
  <si>
    <t xml:space="preserve">2. Add up three months of real spending from your bank, card and payment app statements, one column per month.</t>
  </si>
  <si>
    <t xml:space="preserve">3. The sheet averages the months you filled in and shows the gap against your guess.</t>
  </si>
  <si>
    <t xml:space="preserve">4. Mark each category Keep, Cut or Question. Pick one or two changes, not ten.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</si>
  <si>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</si>
  <si>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</si>
  <si>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https://guidelark.com/blog/spending-audit/</t>
  </si>
  <si>
    <t xml:space="preserve">Free to use and share. General information, not financial advice.</t>
  </si>
  <si>
    <t xml:space="preserve">Spending audit</t>
  </si>
  <si>
    <t xml:space="preserve">Monthly take-home pay</t>
  </si>
  <si>
    <t xml:space="preserve">Category</t>
  </si>
  <si>
    <t xml:space="preserve">My guess</t>
  </si>
  <si>
    <t xml:space="preserve">Month 1</t>
  </si>
  <si>
    <t xml:space="preserve">Month 2</t>
  </si>
  <si>
    <t xml:space="preserve">Month 3</t>
  </si>
  <si>
    <t xml:space="preserve">Average</t>
  </si>
  <si>
    <t xml:space="preserve">Gap vs guess</t>
  </si>
  <si>
    <t xml:space="preserve">Keep, cut or question</t>
  </si>
  <si>
    <t xml:space="preserve">Groceries</t>
  </si>
  <si>
    <t xml:space="preserve">Eating out and coffee</t>
  </si>
  <si>
    <t xml:space="preserve">Cut</t>
  </si>
  <si>
    <t xml:space="preserve">Subscriptions</t>
  </si>
  <si>
    <t xml:space="preserve">Question</t>
  </si>
  <si>
    <t xml:space="preserve">Transport</t>
  </si>
  <si>
    <t xml:space="preserve">Shopping</t>
  </si>
  <si>
    <t xml:space="preserve">Fees and interest</t>
  </si>
  <si>
    <t xml:space="preserve">Fun</t>
  </si>
  <si>
    <t xml:space="preserve">Other</t>
  </si>
  <si>
    <t xml:space="preserve">Total</t>
  </si>
  <si>
    <t xml:space="preserve">Gap over a year</t>
  </si>
  <si>
    <t xml:space="preserve">Audited spending as a share of pay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</si>
</sst>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6B9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6B9A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10</v>
      </c>
    </row>
    <row r="3" customFormat="false" ht="15" hidden="false" customHeight="false" outlineLevel="0" collapsed="false">
      <c r="A3" s="4" t="s">
        <v>11</v>
      </c>
      <c r="B3" s="5" t="n">
        <v>2400</v>
      </c>
    </row>
    <row r="5" customFormat="false" ht="30" hidden="false" customHeight="true" outlineLevel="0" collapsed="false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6" t="s">
        <v>19</v>
      </c>
    </row>
    <row r="6" customFormat="false" ht="15" hidden="false" customHeight="false" outlineLevel="0" collapsed="false">
      <c r="A6" s="8" t="s">
        <v>20</v>
      </c>
      <c r="B6" s="9" t="n">
        <v>300</v>
      </c>
      <c r="C6" s="9" t="n">
        <v>385</v>
      </c>
      <c r="D6" s="9"/>
      <c r="E6" s="9"/>
      <c r="F6" s="10" t="n">
        <f aca="false">IF(COUNT(C6:E6)=0,"",AVERAGE(C6:E6))</f>
        <v>385</v>
      </c>
      <c r="G6" s="10" t="n">
        <f aca="false">IF(F6="","",F6-N(B6))</f>
        <v>85</v>
      </c>
      <c r="H6" s="8"/>
    </row>
    <row r="7" customFormat="false" ht="15" hidden="false" customHeight="false" outlineLevel="0" collapsed="false">
      <c r="A7" s="8" t="s">
        <v>21</v>
      </c>
      <c r="B7" s="9" t="n">
        <v>120</v>
      </c>
      <c r="C7" s="9" t="n">
        <v>264</v>
      </c>
      <c r="D7" s="9"/>
      <c r="E7" s="9"/>
      <c r="F7" s="10" t="n">
        <f aca="false">IF(COUNT(C7:E7)=0,"",AVERAGE(C7:E7))</f>
        <v>264</v>
      </c>
      <c r="G7" s="10" t="n">
        <f aca="false">IF(F7="","",F7-N(B7))</f>
        <v>144</v>
      </c>
      <c r="H7" s="8" t="s">
        <v>22</v>
      </c>
    </row>
    <row r="8" customFormat="false" ht="15" hidden="false" customHeight="false" outlineLevel="0" collapsed="false">
      <c r="A8" s="8" t="s">
        <v>23</v>
      </c>
      <c r="B8" s="9" t="n">
        <v>30</v>
      </c>
      <c r="C8" s="9" t="n">
        <v>67</v>
      </c>
      <c r="D8" s="9"/>
      <c r="E8" s="9"/>
      <c r="F8" s="10" t="n">
        <f aca="false">IF(COUNT(C8:E8)=0,"",AVERAGE(C8:E8))</f>
        <v>67</v>
      </c>
      <c r="G8" s="10" t="n">
        <f aca="false">IF(F8="","",F8-N(B8))</f>
        <v>37</v>
      </c>
      <c r="H8" s="8" t="s">
        <v>24</v>
      </c>
    </row>
    <row r="9" customFormat="false" ht="15" hidden="false" customHeight="false" outlineLevel="0" collapsed="false">
      <c r="A9" s="8" t="s">
        <v>25</v>
      </c>
      <c r="B9" s="9" t="n">
        <v>180</v>
      </c>
      <c r="C9" s="9" t="n">
        <v>205</v>
      </c>
      <c r="D9" s="9"/>
      <c r="E9" s="9"/>
      <c r="F9" s="10" t="n">
        <f aca="false">IF(COUNT(C9:E9)=0,"",AVERAGE(C9:E9))</f>
        <v>205</v>
      </c>
      <c r="G9" s="10" t="n">
        <f aca="false">IF(F9="","",F9-N(B9))</f>
        <v>25</v>
      </c>
      <c r="H9" s="8"/>
    </row>
    <row r="10" customFormat="false" ht="15" hidden="false" customHeight="false" outlineLevel="0" collapsed="false">
      <c r="A10" s="8" t="s">
        <v>26</v>
      </c>
      <c r="B10" s="9" t="n">
        <v>100</v>
      </c>
      <c r="C10" s="9" t="n">
        <v>172</v>
      </c>
      <c r="D10" s="9"/>
      <c r="E10" s="9"/>
      <c r="F10" s="10" t="n">
        <f aca="false">IF(COUNT(C10:E10)=0,"",AVERAGE(C10:E10))</f>
        <v>172</v>
      </c>
      <c r="G10" s="10" t="n">
        <f aca="false">IF(F10="","",F10-N(B10))</f>
        <v>72</v>
      </c>
      <c r="H10" s="8"/>
    </row>
    <row r="11" customFormat="false" ht="15" hidden="false" customHeight="false" outlineLevel="0" collapsed="false">
      <c r="A11" s="8" t="s">
        <v>27</v>
      </c>
      <c r="B11" s="9" t="n">
        <v>0</v>
      </c>
      <c r="C11" s="9" t="n">
        <v>23</v>
      </c>
      <c r="D11" s="9"/>
      <c r="E11" s="9"/>
      <c r="F11" s="10" t="n">
        <f aca="false">IF(COUNT(C11:E11)=0,"",AVERAGE(C11:E11))</f>
        <v>23</v>
      </c>
      <c r="G11" s="10" t="n">
        <f aca="false">IF(F11="","",F11-N(B11))</f>
        <v>23</v>
      </c>
      <c r="H11" s="8"/>
    </row>
    <row r="12" customFormat="false" ht="15" hidden="false" customHeight="false" outlineLevel="0" collapsed="false">
      <c r="A12" s="8" t="s">
        <v>28</v>
      </c>
      <c r="B12" s="9"/>
      <c r="C12" s="9"/>
      <c r="D12" s="9"/>
      <c r="E12" s="9"/>
      <c r="F12" s="10" t="str">
        <f aca="false">IF(COUNT(C12:E12)=0,"",AVERAGE(C12:E12))</f>
        <v/>
      </c>
      <c r="G12" s="10" t="str">
        <f aca="false">IF(F12="","",F12-N(B12))</f>
        <v/>
      </c>
      <c r="H12" s="8"/>
    </row>
    <row r="13" customFormat="false" ht="15" hidden="false" customHeight="false" outlineLevel="0" collapsed="false">
      <c r="A13" s="8" t="s">
        <v>29</v>
      </c>
      <c r="B13" s="9"/>
      <c r="C13" s="9"/>
      <c r="D13" s="9"/>
      <c r="E13" s="9"/>
      <c r="F13" s="10" t="str">
        <f aca="false">IF(COUNT(C13:E13)=0,"",AVERAGE(C13:E13))</f>
        <v/>
      </c>
      <c r="G13" s="10" t="str">
        <f aca="false">IF(F13="","",F13-N(B13))</f>
        <v/>
      </c>
      <c r="H13" s="8"/>
    </row>
    <row r="14" customFormat="false" ht="15" hidden="false" customHeight="false" outlineLevel="0" collapsed="false">
      <c r="A14" s="8"/>
      <c r="B14" s="9"/>
      <c r="C14" s="9"/>
      <c r="D14" s="9"/>
      <c r="E14" s="9"/>
      <c r="F14" s="10" t="str">
        <f aca="false">IF(COUNT(C14:E14)=0,"",AVERAGE(C14:E14))</f>
        <v/>
      </c>
      <c r="G14" s="10" t="str">
        <f aca="false">IF(F14="","",F14-N(B14))</f>
        <v/>
      </c>
      <c r="H14" s="8"/>
    </row>
    <row r="15" customFormat="false" ht="15" hidden="false" customHeight="false" outlineLevel="0" collapsed="false">
      <c r="A15" s="8"/>
      <c r="B15" s="9"/>
      <c r="C15" s="9"/>
      <c r="D15" s="9"/>
      <c r="E15" s="9"/>
      <c r="F15" s="10" t="str">
        <f aca="false">IF(COUNT(C15:E15)=0,"",AVERAGE(C15:E15))</f>
        <v/>
      </c>
      <c r="G15" s="10" t="str">
        <f aca="false">IF(F15="","",F15-N(B15))</f>
        <v/>
      </c>
      <c r="H15" s="8"/>
    </row>
    <row r="16" customFormat="false" ht="15" hidden="false" customHeight="false" outlineLevel="0" collapsed="false">
      <c r="A16" s="8"/>
      <c r="B16" s="9"/>
      <c r="C16" s="9"/>
      <c r="D16" s="9"/>
      <c r="E16" s="9"/>
      <c r="F16" s="10" t="str">
        <f aca="false">IF(COUNT(C16:E16)=0,"",AVERAGE(C16:E16))</f>
        <v/>
      </c>
      <c r="G16" s="10" t="str">
        <f aca="false">IF(F16="","",F16-N(B16))</f>
        <v/>
      </c>
      <c r="H16" s="8"/>
    </row>
    <row r="17" customFormat="false" ht="15" hidden="false" customHeight="false" outlineLevel="0" collapsed="false">
      <c r="A17" s="8"/>
      <c r="B17" s="9"/>
      <c r="C17" s="9"/>
      <c r="D17" s="9"/>
      <c r="E17" s="9"/>
      <c r="F17" s="10" t="str">
        <f aca="false">IF(COUNT(C17:E17)=0,"",AVERAGE(C17:E17))</f>
        <v/>
      </c>
      <c r="G17" s="10" t="str">
        <f aca="false">IF(F17="","",F17-N(B17))</f>
        <v/>
      </c>
      <c r="H17" s="8"/>
    </row>
    <row r="18" customFormat="false" ht="15" hidden="false" customHeight="false" outlineLevel="0" collapsed="false">
      <c r="A18" s="8"/>
      <c r="B18" s="9"/>
      <c r="C18" s="9"/>
      <c r="D18" s="9"/>
      <c r="E18" s="9"/>
      <c r="F18" s="10" t="str">
        <f aca="false">IF(COUNT(C18:E18)=0,"",AVERAGE(C18:E18))</f>
        <v/>
      </c>
      <c r="G18" s="10" t="str">
        <f aca="false">IF(F18="","",F18-N(B18))</f>
        <v/>
      </c>
      <c r="H18" s="8"/>
    </row>
    <row r="19" customFormat="false" ht="15" hidden="false" customHeight="false" outlineLevel="0" collapsed="false">
      <c r="A19" s="8"/>
      <c r="B19" s="9"/>
      <c r="C19" s="9"/>
      <c r="D19" s="9"/>
      <c r="E19" s="9"/>
      <c r="F19" s="10" t="str">
        <f aca="false">IF(COUNT(C19:E19)=0,"",AVERAGE(C19:E19))</f>
        <v/>
      </c>
      <c r="G19" s="10" t="str">
        <f aca="false">IF(F19="","",F19-N(B19))</f>
        <v/>
      </c>
      <c r="H19" s="8"/>
    </row>
    <row r="20" customFormat="false" ht="15" hidden="false" customHeight="false" outlineLevel="0" collapsed="false">
      <c r="A20" s="11" t="s">
        <v>30</v>
      </c>
      <c r="B20" s="12" t="n">
        <f aca="false">SUM(B6:B19)</f>
        <v>730</v>
      </c>
      <c r="C20" s="13"/>
      <c r="D20" s="13"/>
      <c r="E20" s="13"/>
      <c r="F20" s="12" t="n">
        <f aca="false">SUM(F6:F19)</f>
        <v>1116</v>
      </c>
      <c r="G20" s="12" t="n">
        <f aca="false">SUM(G6:G19)</f>
        <v>386</v>
      </c>
      <c r="H20" s="13"/>
    </row>
    <row r="22" customFormat="false" ht="15" hidden="false" customHeight="false" outlineLevel="0" collapsed="false">
      <c r="A22" s="4" t="s">
        <v>31</v>
      </c>
      <c r="B22" s="14" t="n">
        <f aca="false">G20*12</f>
        <v>4632</v>
      </c>
    </row>
    <row r="23" customFormat="false" ht="15" hidden="false" customHeight="false" outlineLevel="0" collapsed="false">
      <c r="A23" s="4" t="s">
        <v>32</v>
      </c>
      <c r="B23" s="15" t="n">
        <f aca="false">IF(B3=0,"",F20/B3)</f>
        <v>0.465</v>
      </c>
    </row>
  </sheetData>
  <conditionalFormatting sqref="G6:G19">
    <cfRule type="expression" priority="2" aboveAverage="0" equalAverage="0" bottom="0" percent="0" rank="0" text="" dxfId="0">
      <formula>AND(ISNUMBER(G6),G6&gt;0)</formula>
    </cfRule>
  </conditionalFormatting>
  <dataValidations count="1">
    <dataValidation allowBlank="true" errorStyle="stop" operator="between" showDropDown="false" showErrorMessage="false" showInputMessage="false" sqref="H6:H19" type="list">
      <formula1>"Keep,Cut,Question"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