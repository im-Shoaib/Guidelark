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tart here" sheetId="1" state="visible" r:id="rId3"/>
    <sheet name="Data" sheetId="2" state="visible" r:id="rId4"/>
    <sheet name="Practi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<sst xmlns="http://schemas.openxmlformats.org/spreadsheetml/2006/main" count="99" uniqueCount="62">
  <si>
    <t xml:space="preserve">SUMIF and SUMIFS practice workbook</t>
  </si>
  <si>
    <t xml:space="preserve">How to use it</t>
  </si>
  <si>
    <t xml:space="preserve">1. The Data tab holds 20 example transactions.</t>
  </si>
  <si>
    <t xml:space="preserve">2. The Practice tab shows a question, the formula that answers it, and the result.</t>
  </si>
  <si>
    <t xml:space="preserve">3. Retype each formula yourself in the yellow "Your turn" column and check you get the same result.</t>
  </si>
  <si>
    <t xml:space="preserve">4. Then change a word in the criteria (for example "Groceries" to "Transport") and watch the answer change.</t>
  </si>
  <si>
    <t xml:space="preserve">Yellow cells are for you to type in. White cells calculate automatically, so leave them alone.</t>
  </si>
  <si>
    <t xml:space="preserve">The example numbers only show the format. Replace them with your own.</t>
  </si>
  <si>
    <t xml:space="preserve">Step-by-step guide: https://guidelark.com/blog/sumifs-google-sheets/</t>
  </si>
  <si>
    <t xml:space="preserve">Free to use and share. General information, not financial advice.</t>
  </si>
  <si>
    <t xml:space="preserve">Example transactions</t>
  </si>
  <si>
    <t xml:space="preserve">Date</t>
  </si>
  <si>
    <t xml:space="preserve">Category</t>
  </si>
  <si>
    <t xml:space="preserve">Description</t>
  </si>
  <si>
    <t xml:space="preserve">Amount</t>
  </si>
  <si>
    <t xml:space="preserve">Paid with</t>
  </si>
  <si>
    <t xml:space="preserve">Rent</t>
  </si>
  <si>
    <t xml:space="preserve">September rent</t>
  </si>
  <si>
    <t xml:space="preserve">Bank transfer</t>
  </si>
  <si>
    <t xml:space="preserve">Groceries</t>
  </si>
  <si>
    <t xml:space="preserve">Weekly shop</t>
  </si>
  <si>
    <t xml:space="preserve">Debit card</t>
  </si>
  <si>
    <t xml:space="preserve">Eating out</t>
  </si>
  <si>
    <t xml:space="preserve">Coffee and bagel</t>
  </si>
  <si>
    <t xml:space="preserve">Card</t>
  </si>
  <si>
    <t xml:space="preserve">Transport</t>
  </si>
  <si>
    <t xml:space="preserve">Bus pass</t>
  </si>
  <si>
    <t xml:space="preserve">Dinner out</t>
  </si>
  <si>
    <t xml:space="preserve">Fun</t>
  </si>
  <si>
    <t xml:space="preserve">Concert ticket</t>
  </si>
  <si>
    <t xml:space="preserve">October rent</t>
  </si>
  <si>
    <t xml:space="preserve">Coffee</t>
  </si>
  <si>
    <t xml:space="preserve">Cash</t>
  </si>
  <si>
    <t xml:space="preserve">Bills</t>
  </si>
  <si>
    <t xml:space="preserve">Phone bill</t>
  </si>
  <si>
    <t xml:space="preserve">Pizza night</t>
  </si>
  <si>
    <t xml:space="preserve">Coffee with a friend</t>
  </si>
  <si>
    <t xml:space="preserve">Shopping</t>
  </si>
  <si>
    <t xml:space="preserve">Running shoes</t>
  </si>
  <si>
    <t xml:space="preserve">Cinema</t>
  </si>
  <si>
    <t xml:space="preserve">Practice: SUMIF and SUMIFS</t>
  </si>
  <si>
    <t xml:space="preserve">Ranges refer to the Data tab, rows 5 to 24.</t>
  </si>
  <si>
    <t xml:space="preserve">Category to look up</t>
  </si>
  <si>
    <t xml:space="preserve">Used by question 7. Try "Transport" or "Eating out".</t>
  </si>
  <si>
    <t xml:space="preserve">Question</t>
  </si>
  <si>
    <t xml:space="preserve">Formula</t>
  </si>
  <si>
    <t xml:space="preserve">Result</t>
  </si>
  <si>
    <t xml:space="preserve">Your turn</t>
  </si>
  <si>
    <t xml:space="preserve">1. Total spent on groceries</t>
  </si>
  <si>
    <t xml:space="preserve">=SUMIF(Data!$B$5:$B$24,"Groceries",Data!$D$5:$D$24)</t>
  </si>
  <si>
    <t xml:space="preserve">2. Groceries in October only</t>
  </si>
  <si>
    <t xml:space="preserve">=SUMIFS(Data!$D$5:$D$24,Data!$B$5:$B$24,"Groceries",Data!$A$5:$A$24,"&gt;="&amp;DATE(2026,10,1),Data!$A$5:$A$24,"&lt;"&amp;DATE(2026,11,1))</t>
  </si>
  <si>
    <t xml:space="preserve">3. Every purchase over $50</t>
  </si>
  <si>
    <t xml:space="preserve">=SUMIF(Data!$D$5:$D$24,"&gt;50")</t>
  </si>
  <si>
    <t xml:space="preserve">4. Eating out paid by card</t>
  </si>
  <si>
    <t xml:space="preserve">=SUMIFS(Data!$D$5:$D$24,Data!$B$5:$B$24,"Eating out",Data!$E$5:$E$24,"Card")</t>
  </si>
  <si>
    <t xml:space="preserve">5. Anything with "coffee" in the description</t>
  </si>
  <si>
    <t xml:space="preserve">=SUMIF(Data!$C$5:$C$24,"*coffee*",Data!$D$5:$D$24)</t>
  </si>
  <si>
    <t xml:space="preserve">6. Everything except rent</t>
  </si>
  <si>
    <t xml:space="preserve">=SUMIF(Data!$B$5:$B$24,"&lt;&gt;Rent",Data!$D$5:$D$24)</t>
  </si>
  <si>
    <t xml:space="preserve">7. The category typed in cell B3</t>
  </si>
  <si>
    <t xml:space="preserve">=SUMIF(Data!$B$5:$B$24,$B$3,Data!$D$5:$D$24)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</si>
</sst>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\$#,##0.00;[RED]&quot;-$&quot;#,##0.00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55607A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Courier New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4213D"/>
        <bgColor rgb="FF003366"/>
      </patternFill>
    </fill>
    <fill>
      <patternFill patternType="solid">
        <fgColor rgb="FFFFF4B8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6D4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D4C3"/>
      <rgbColor rgb="FF808080"/>
      <rgbColor rgb="FF9999FF"/>
      <rgbColor rgb="FF993366"/>
      <rgbColor rgb="FFFFF4B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607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11"/>
    <col collapsed="false" customWidth="true" hidden="false" outlineLevel="0" max="5" min="5" style="0" width="16"/>
  </cols>
  <sheetData>
    <row r="1" customFormat="false" ht="19.7" hidden="false" customHeight="false" outlineLevel="0" collapsed="false">
      <c r="A1" s="1" t="s">
        <v>10</v>
      </c>
    </row>
    <row r="4" customFormat="false" ht="15" hidden="false" customHeight="false" outlineLevel="0" collapsed="false">
      <c r="A4" s="4" t="s">
        <v>11</v>
      </c>
      <c r="B4" s="4" t="s">
        <v>12</v>
      </c>
      <c r="C4" s="4" t="s">
        <v>13</v>
      </c>
      <c r="D4" s="5" t="s">
        <v>14</v>
      </c>
      <c r="E4" s="4" t="s">
        <v>15</v>
      </c>
    </row>
    <row r="5" customFormat="false" ht="15" hidden="false" customHeight="false" outlineLevel="0" collapsed="false">
      <c r="A5" s="6" t="n">
        <v>46266</v>
      </c>
      <c r="B5" s="7" t="s">
        <v>16</v>
      </c>
      <c r="C5" s="7" t="s">
        <v>17</v>
      </c>
      <c r="D5" s="8" t="n">
        <v>450</v>
      </c>
      <c r="E5" s="7" t="s">
        <v>18</v>
      </c>
    </row>
    <row r="6" customFormat="false" ht="15" hidden="false" customHeight="false" outlineLevel="0" collapsed="false">
      <c r="A6" s="6" t="n">
        <v>46269</v>
      </c>
      <c r="B6" s="7" t="s">
        <v>19</v>
      </c>
      <c r="C6" s="7" t="s">
        <v>20</v>
      </c>
      <c r="D6" s="8" t="n">
        <v>51.2</v>
      </c>
      <c r="E6" s="7" t="s">
        <v>21</v>
      </c>
    </row>
    <row r="7" customFormat="false" ht="15" hidden="false" customHeight="false" outlineLevel="0" collapsed="false">
      <c r="A7" s="6" t="n">
        <v>46271</v>
      </c>
      <c r="B7" s="7" t="s">
        <v>22</v>
      </c>
      <c r="C7" s="7" t="s">
        <v>23</v>
      </c>
      <c r="D7" s="8" t="n">
        <v>7.8</v>
      </c>
      <c r="E7" s="7" t="s">
        <v>24</v>
      </c>
    </row>
    <row r="8" customFormat="false" ht="15" hidden="false" customHeight="false" outlineLevel="0" collapsed="false">
      <c r="A8" s="6" t="n">
        <v>46276</v>
      </c>
      <c r="B8" s="7" t="s">
        <v>19</v>
      </c>
      <c r="C8" s="7" t="s">
        <v>20</v>
      </c>
      <c r="D8" s="8" t="n">
        <v>47.6</v>
      </c>
      <c r="E8" s="7" t="s">
        <v>21</v>
      </c>
    </row>
    <row r="9" customFormat="false" ht="15" hidden="false" customHeight="false" outlineLevel="0" collapsed="false">
      <c r="A9" s="6" t="n">
        <v>46278</v>
      </c>
      <c r="B9" s="7" t="s">
        <v>25</v>
      </c>
      <c r="C9" s="7" t="s">
        <v>26</v>
      </c>
      <c r="D9" s="8" t="n">
        <v>65</v>
      </c>
      <c r="E9" s="7" t="s">
        <v>24</v>
      </c>
    </row>
    <row r="10" customFormat="false" ht="15" hidden="false" customHeight="false" outlineLevel="0" collapsed="false">
      <c r="A10" s="6" t="n">
        <v>46283</v>
      </c>
      <c r="B10" s="7" t="s">
        <v>19</v>
      </c>
      <c r="C10" s="7" t="s">
        <v>20</v>
      </c>
      <c r="D10" s="8" t="n">
        <v>55.9</v>
      </c>
      <c r="E10" s="7" t="s">
        <v>21</v>
      </c>
    </row>
    <row r="11" customFormat="false" ht="15" hidden="false" customHeight="false" outlineLevel="0" collapsed="false">
      <c r="A11" s="6" t="n">
        <v>46285</v>
      </c>
      <c r="B11" s="7" t="s">
        <v>22</v>
      </c>
      <c r="C11" s="7" t="s">
        <v>27</v>
      </c>
      <c r="D11" s="8" t="n">
        <v>32.5</v>
      </c>
      <c r="E11" s="7" t="s">
        <v>24</v>
      </c>
    </row>
    <row r="12" customFormat="false" ht="15" hidden="false" customHeight="false" outlineLevel="0" collapsed="false">
      <c r="A12" s="6" t="n">
        <v>46290</v>
      </c>
      <c r="B12" s="7" t="s">
        <v>19</v>
      </c>
      <c r="C12" s="7" t="s">
        <v>20</v>
      </c>
      <c r="D12" s="8" t="n">
        <v>49.3</v>
      </c>
      <c r="E12" s="7" t="s">
        <v>21</v>
      </c>
    </row>
    <row r="13" customFormat="false" ht="15" hidden="false" customHeight="false" outlineLevel="0" collapsed="false">
      <c r="A13" s="6" t="n">
        <v>46292</v>
      </c>
      <c r="B13" s="7" t="s">
        <v>28</v>
      </c>
      <c r="C13" s="7" t="s">
        <v>29</v>
      </c>
      <c r="D13" s="8" t="n">
        <v>60</v>
      </c>
      <c r="E13" s="7" t="s">
        <v>24</v>
      </c>
    </row>
    <row r="14" customFormat="false" ht="15" hidden="false" customHeight="false" outlineLevel="0" collapsed="false">
      <c r="A14" s="6" t="n">
        <v>46296</v>
      </c>
      <c r="B14" s="7" t="s">
        <v>16</v>
      </c>
      <c r="C14" s="7" t="s">
        <v>30</v>
      </c>
      <c r="D14" s="8" t="n">
        <v>450</v>
      </c>
      <c r="E14" s="7" t="s">
        <v>18</v>
      </c>
    </row>
    <row r="15" customFormat="false" ht="15" hidden="false" customHeight="false" outlineLevel="0" collapsed="false">
      <c r="A15" s="6" t="n">
        <v>46297</v>
      </c>
      <c r="B15" s="7" t="s">
        <v>19</v>
      </c>
      <c r="C15" s="7" t="s">
        <v>20</v>
      </c>
      <c r="D15" s="8" t="n">
        <v>53.1</v>
      </c>
      <c r="E15" s="7" t="s">
        <v>21</v>
      </c>
    </row>
    <row r="16" customFormat="false" ht="15" hidden="false" customHeight="false" outlineLevel="0" collapsed="false">
      <c r="A16" s="6" t="n">
        <v>46298</v>
      </c>
      <c r="B16" s="7" t="s">
        <v>22</v>
      </c>
      <c r="C16" s="7" t="s">
        <v>31</v>
      </c>
      <c r="D16" s="8" t="n">
        <v>4.5</v>
      </c>
      <c r="E16" s="7" t="s">
        <v>32</v>
      </c>
    </row>
    <row r="17" customFormat="false" ht="15" hidden="false" customHeight="false" outlineLevel="0" collapsed="false">
      <c r="A17" s="6" t="n">
        <v>46302</v>
      </c>
      <c r="B17" s="7" t="s">
        <v>33</v>
      </c>
      <c r="C17" s="7" t="s">
        <v>34</v>
      </c>
      <c r="D17" s="8" t="n">
        <v>35</v>
      </c>
      <c r="E17" s="7" t="s">
        <v>24</v>
      </c>
    </row>
    <row r="18" customFormat="false" ht="15" hidden="false" customHeight="false" outlineLevel="0" collapsed="false">
      <c r="A18" s="6" t="n">
        <v>46304</v>
      </c>
      <c r="B18" s="7" t="s">
        <v>19</v>
      </c>
      <c r="C18" s="7" t="s">
        <v>20</v>
      </c>
      <c r="D18" s="8" t="n">
        <v>46.8</v>
      </c>
      <c r="E18" s="7" t="s">
        <v>21</v>
      </c>
    </row>
    <row r="19" customFormat="false" ht="15" hidden="false" customHeight="false" outlineLevel="0" collapsed="false">
      <c r="A19" s="6" t="n">
        <v>46305</v>
      </c>
      <c r="B19" s="7" t="s">
        <v>22</v>
      </c>
      <c r="C19" s="7" t="s">
        <v>35</v>
      </c>
      <c r="D19" s="8" t="n">
        <v>21</v>
      </c>
      <c r="E19" s="7" t="s">
        <v>24</v>
      </c>
    </row>
    <row r="20" customFormat="false" ht="15" hidden="false" customHeight="false" outlineLevel="0" collapsed="false">
      <c r="A20" s="6" t="n">
        <v>46307</v>
      </c>
      <c r="B20" s="7" t="s">
        <v>25</v>
      </c>
      <c r="C20" s="7" t="s">
        <v>26</v>
      </c>
      <c r="D20" s="8" t="n">
        <v>65</v>
      </c>
      <c r="E20" s="7" t="s">
        <v>24</v>
      </c>
    </row>
    <row r="21" customFormat="false" ht="15" hidden="false" customHeight="false" outlineLevel="0" collapsed="false">
      <c r="A21" s="6" t="n">
        <v>46309</v>
      </c>
      <c r="B21" s="7" t="s">
        <v>22</v>
      </c>
      <c r="C21" s="7" t="s">
        <v>36</v>
      </c>
      <c r="D21" s="8" t="n">
        <v>9.2</v>
      </c>
      <c r="E21" s="7" t="s">
        <v>24</v>
      </c>
    </row>
    <row r="22" customFormat="false" ht="15" hidden="false" customHeight="false" outlineLevel="0" collapsed="false">
      <c r="A22" s="6" t="n">
        <v>46311</v>
      </c>
      <c r="B22" s="7" t="s">
        <v>19</v>
      </c>
      <c r="C22" s="7" t="s">
        <v>20</v>
      </c>
      <c r="D22" s="8" t="n">
        <v>58.4</v>
      </c>
      <c r="E22" s="7" t="s">
        <v>21</v>
      </c>
    </row>
    <row r="23" customFormat="false" ht="15" hidden="false" customHeight="false" outlineLevel="0" collapsed="false">
      <c r="A23" s="6" t="n">
        <v>46313</v>
      </c>
      <c r="B23" s="7" t="s">
        <v>37</v>
      </c>
      <c r="C23" s="7" t="s">
        <v>38</v>
      </c>
      <c r="D23" s="8" t="n">
        <v>79</v>
      </c>
      <c r="E23" s="7" t="s">
        <v>24</v>
      </c>
    </row>
    <row r="24" customFormat="false" ht="15" hidden="false" customHeight="false" outlineLevel="0" collapsed="false">
      <c r="A24" s="6" t="n">
        <v>46316</v>
      </c>
      <c r="B24" s="7" t="s">
        <v>28</v>
      </c>
      <c r="C24" s="7" t="s">
        <v>39</v>
      </c>
      <c r="D24" s="8" t="n">
        <v>13</v>
      </c>
      <c r="E24" s="7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92"/>
    <col collapsed="false" customWidth="true" hidden="false" outlineLevel="0" max="4" min="3" style="0" width="12"/>
  </cols>
  <sheetData>
    <row r="1" customFormat="false" ht="19.7" hidden="false" customHeight="false" outlineLevel="0" collapsed="false">
      <c r="A1" s="1" t="s">
        <v>40</v>
      </c>
    </row>
    <row r="2" customFormat="false" ht="15" hidden="false" customHeight="false" outlineLevel="0" collapsed="false">
      <c r="A2" s="9" t="s">
        <v>41</v>
      </c>
    </row>
    <row r="3" customFormat="false" ht="15" hidden="false" customHeight="false" outlineLevel="0" collapsed="false">
      <c r="A3" s="10" t="s">
        <v>42</v>
      </c>
      <c r="B3" s="11" t="s">
        <v>19</v>
      </c>
      <c r="C3" s="9" t="s">
        <v>43</v>
      </c>
    </row>
    <row r="5" customFormat="false" ht="15" hidden="false" customHeight="false" outlineLevel="0" collapsed="false">
      <c r="A5" s="4" t="s">
        <v>44</v>
      </c>
      <c r="B5" s="4" t="s">
        <v>45</v>
      </c>
      <c r="C5" s="5" t="s">
        <v>46</v>
      </c>
      <c r="D5" s="4" t="s">
        <v>47</v>
      </c>
    </row>
    <row r="6" customFormat="false" ht="15" hidden="false" customHeight="false" outlineLevel="0" collapsed="false">
      <c r="A6" s="7" t="s">
        <v>48</v>
      </c>
      <c r="B6" s="12" t="s">
        <v>49</v>
      </c>
      <c r="C6" s="13" t="n">
        <f aca="false">SUMIF(Data!$B$5:$B$24,"Groceries",Data!$D$5:$D$24)</f>
        <v>362.3</v>
      </c>
      <c r="D6" s="14"/>
    </row>
    <row r="7" customFormat="false" ht="15" hidden="false" customHeight="false" outlineLevel="0" collapsed="false">
      <c r="A7" s="7" t="s">
        <v>50</v>
      </c>
      <c r="B7" s="12" t="s">
        <v>51</v>
      </c>
      <c r="C7" s="13" t="n">
        <f aca="false">SUMIFS(Data!$D$5:$D$24,Data!$B$5:$B$24,"Groceries",Data!$A$5:$A$24,"&gt;="&amp;DATE(2026,10,1),Data!$A$5:$A$24,"&lt;"&amp;DATE(2026,11,1))</f>
        <v>158.3</v>
      </c>
      <c r="D7" s="14"/>
    </row>
    <row r="8" customFormat="false" ht="15" hidden="false" customHeight="false" outlineLevel="0" collapsed="false">
      <c r="A8" s="7" t="s">
        <v>52</v>
      </c>
      <c r="B8" s="12" t="s">
        <v>53</v>
      </c>
      <c r="C8" s="13" t="n">
        <f aca="false">SUMIF(Data!$D$5:$D$24,"&gt;50")</f>
        <v>1387.6</v>
      </c>
      <c r="D8" s="14"/>
    </row>
    <row r="9" customFormat="false" ht="15" hidden="false" customHeight="false" outlineLevel="0" collapsed="false">
      <c r="A9" s="7" t="s">
        <v>54</v>
      </c>
      <c r="B9" s="12" t="s">
        <v>55</v>
      </c>
      <c r="C9" s="13" t="n">
        <f aca="false">SUMIFS(Data!$D$5:$D$24,Data!$B$5:$B$24,"Eating out",Data!$E$5:$E$24,"Card")</f>
        <v>70.5</v>
      </c>
      <c r="D9" s="14"/>
    </row>
    <row r="10" customFormat="false" ht="15" hidden="false" customHeight="false" outlineLevel="0" collapsed="false">
      <c r="A10" s="7" t="s">
        <v>56</v>
      </c>
      <c r="B10" s="12" t="s">
        <v>57</v>
      </c>
      <c r="C10" s="13" t="n">
        <f aca="false">SUMIF(Data!$C$5:$C$24,"*coffee*",Data!$D$5:$D$24)</f>
        <v>21.5</v>
      </c>
      <c r="D10" s="14"/>
    </row>
    <row r="11" customFormat="false" ht="15" hidden="false" customHeight="false" outlineLevel="0" collapsed="false">
      <c r="A11" s="7" t="s">
        <v>58</v>
      </c>
      <c r="B11" s="12" t="s">
        <v>59</v>
      </c>
      <c r="C11" s="13" t="n">
        <f aca="false">SUMIF(Data!$B$5:$B$24,"&lt;&gt;Rent",Data!$D$5:$D$24)</f>
        <v>754.3</v>
      </c>
      <c r="D11" s="14"/>
    </row>
    <row r="12" customFormat="false" ht="15" hidden="false" customHeight="false" outlineLevel="0" collapsed="false">
      <c r="A12" s="7" t="s">
        <v>60</v>
      </c>
      <c r="B12" s="12" t="s">
        <v>61</v>
      </c>
      <c r="C12" s="13" t="n">
        <f aca="false">SUMIF(Data!$B$5:$B$24,$B$3,Data!$D$5:$D$24)</f>
        <v>362.3</v>
      </c>
      <c r="D12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2026-10-13T12:27:59Z</dcterms:created>
  <dc:creator>openpyxl</dc:creator>
  <dc:description/>
  <dc:language>en-US</dc:language>
  <cp:lastModifiedBy/>
  <dcterms:modified xsi:type="dcterms:W3CDTF">2026-10-13T12:27:59Z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