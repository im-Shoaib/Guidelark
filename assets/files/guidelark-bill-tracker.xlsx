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Bills" sheetId="2" state="visible" r:id="rId4"/>
    <sheet name="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<sst xmlns="http://schemas.openxmlformats.org/spreadsheetml/2006/main" count="66" uniqueCount="50">
  <si>
    <t xml:space="preserve">Bill tracker</t>
  </si>
  <si>
    <t xml:space="preserve">How to use it</t>
  </si>
  <si>
    <t xml:space="preserve">1. On the Bills tab, list every bill: amount, the day it is due, and whether it is on autopay.</t>
  </si>
  <si>
    <t xml:space="preserve">2. The sheet shows the next due date for each bill and how many days are left. Bills due within 3 days turn red.</t>
  </si>
  <si>
    <t xml:space="preserve">3. On the Checklist tab, type x under the month when you have paid a bill.</t>
  </si>
  <si>
    <t xml:space="preserve">4. The bottom row of the checklist shows how much you have paid each month.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</si>
  <si>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</si>
  <si>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</si>
  <si>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https://guidelark.com/blog/bill-tracker-template/</t>
  </si>
  <si>
    <t xml:space="preserve">Free to use and share. General information, not financial advice.</t>
  </si>
  <si>
    <t xml:space="preserve">Bills</t>
  </si>
  <si>
    <t xml:space="preserve">Next due date and days left are counted from today.</t>
  </si>
  <si>
    <t xml:space="preserve">Bill</t>
  </si>
  <si>
    <t xml:space="preserve">Amount</t>
  </si>
  <si>
    <t xml:space="preserve">Due day of month</t>
  </si>
  <si>
    <t xml:space="preserve">Autopay?</t>
  </si>
  <si>
    <t xml:space="preserve">Paid from</t>
  </si>
  <si>
    <t xml:space="preserve">Next due date</t>
  </si>
  <si>
    <t xml:space="preserve">Days left</t>
  </si>
  <si>
    <t xml:space="preserve">Rent</t>
  </si>
  <si>
    <t xml:space="preserve">No</t>
  </si>
  <si>
    <t xml:space="preserve">Bank transfer</t>
  </si>
  <si>
    <t xml:space="preserve">Electricity</t>
  </si>
  <si>
    <t xml:space="preserve">Yes</t>
  </si>
  <si>
    <t xml:space="preserve">Debit card</t>
  </si>
  <si>
    <t xml:space="preserve">Phone</t>
  </si>
  <si>
    <t xml:space="preserve">Internet</t>
  </si>
  <si>
    <t xml:space="preserve">Streaming</t>
  </si>
  <si>
    <t xml:space="preserve">Credit card</t>
  </si>
  <si>
    <t xml:space="preserve">Student loan</t>
  </si>
  <si>
    <t xml:space="preserve">Bills per month</t>
  </si>
  <si>
    <t xml:space="preserve">On autopay</t>
  </si>
  <si>
    <t xml:space="preserve">Paid by hand</t>
  </si>
  <si>
    <t xml:space="preserve">These are the ones to watch.</t>
  </si>
  <si>
    <t xml:space="preserve">Paid checklist</t>
  </si>
  <si>
    <t xml:space="preserve">Type x when a bill is paid.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</si>
  <si>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</si>
  <si>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</si>
  <si>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</si>
  <si>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</si>
  <si>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</si>
  <si>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</si>
  <si>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</si>
  <si>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</si>
  <si>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</si>
  <si>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</si>
  <si>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</si>
  <si>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</si>
  <si>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x</t>
  </si>
  <si>
    <t xml:space="preserve">Paid this month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</si>
</sst>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[RED]&quot;-$&quot;#,##0.00;\-"/>
    <numFmt numFmtId="166" formatCode="yyyy\-mm\-dd"/>
    <numFmt numFmtId="167" formatCode="General"/>
    <numFmt numFmtId="168" formatCode="\$#,##0;[RED]&quot;-$&quot;#,##0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4B8"/>
        <bgColor rgb="FFFFFF99"/>
      </patternFill>
    </fill>
    <fill>
      <patternFill patternType="solid">
        <fgColor rgb="FFE4EFE0"/>
        <bgColor rgb="FFFFF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6B9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0"/>
      <rgbColor rgb="FFFFFF99"/>
      <rgbColor rgb="FF99CCFF"/>
      <rgbColor rgb="FFFF99CC"/>
      <rgbColor rgb="FFCC99FF"/>
      <rgbColor rgb="FFF6B9A6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1"/>
  </cols>
  <sheetData>
    <row r="1" customFormat="false" ht="19.7" hidden="false" customHeight="false" outlineLevel="0" collapsed="false">
      <c r="A1" s="1" t="s">
        <v>10</v>
      </c>
    </row>
    <row r="2" customFormat="false" ht="15" hidden="false" customHeight="false" outlineLevel="0" collapsed="false">
      <c r="A2" s="4" t="s">
        <v>11</v>
      </c>
    </row>
    <row r="4" customFormat="false" ht="30" hidden="false" customHeight="true" outlineLevel="0" collapsed="false">
      <c r="A4" s="5" t="s">
        <v>12</v>
      </c>
      <c r="B4" s="6" t="s">
        <v>13</v>
      </c>
      <c r="C4" s="6" t="s">
        <v>14</v>
      </c>
      <c r="D4" s="5" t="s">
        <v>15</v>
      </c>
      <c r="E4" s="5" t="s">
        <v>16</v>
      </c>
      <c r="F4" s="5" t="s">
        <v>17</v>
      </c>
      <c r="G4" s="6" t="s">
        <v>18</v>
      </c>
    </row>
    <row r="5" customFormat="false" ht="15" hidden="false" customHeight="false" outlineLevel="0" collapsed="false">
      <c r="A5" s="7" t="s">
        <v>19</v>
      </c>
      <c r="B5" s="8" t="n">
        <v>450</v>
      </c>
      <c r="C5" s="7" t="n">
        <v>1</v>
      </c>
      <c r="D5" s="7" t="s">
        <v>20</v>
      </c>
      <c r="E5" s="7" t="s">
        <v>21</v>
      </c>
      <c r="F5" s="9" t="n">
        <f aca="true">IF(N(C5)=0,"",IF(DAY(TODAY())&lt;=C5,DATE(YEAR(TODAY()),MONTH(TODAY()),C5),DATE(YEAR(TODAY()),MONTH(TODAY())+1,C5)))</f>
        <v>46327</v>
      </c>
      <c r="G5" s="10" t="n">
        <f aca="true">IF(F5="","",F5-TODAY())</f>
        <v>19</v>
      </c>
    </row>
    <row r="6" customFormat="false" ht="15" hidden="false" customHeight="false" outlineLevel="0" collapsed="false">
      <c r="A6" s="7" t="s">
        <v>22</v>
      </c>
      <c r="B6" s="8" t="n">
        <v>45</v>
      </c>
      <c r="C6" s="7" t="n">
        <v>10</v>
      </c>
      <c r="D6" s="7" t="s">
        <v>23</v>
      </c>
      <c r="E6" s="7" t="s">
        <v>24</v>
      </c>
      <c r="F6" s="9" t="n">
        <f aca="true">IF(N(C6)=0,"",IF(DAY(TODAY())&lt;=C6,DATE(YEAR(TODAY()),MONTH(TODAY()),C6),DATE(YEAR(TODAY()),MONTH(TODAY())+1,C6)))</f>
        <v>46336</v>
      </c>
      <c r="G6" s="10" t="n">
        <f aca="true">IF(F6="","",F6-TODAY())</f>
        <v>28</v>
      </c>
    </row>
    <row r="7" customFormat="false" ht="15" hidden="false" customHeight="false" outlineLevel="0" collapsed="false">
      <c r="A7" s="7" t="s">
        <v>25</v>
      </c>
      <c r="B7" s="8" t="n">
        <v>35</v>
      </c>
      <c r="C7" s="7" t="n">
        <v>14</v>
      </c>
      <c r="D7" s="7" t="s">
        <v>23</v>
      </c>
      <c r="E7" s="7" t="s">
        <v>24</v>
      </c>
      <c r="F7" s="9" t="n">
        <f aca="true">IF(N(C7)=0,"",IF(DAY(TODAY())&lt;=C7,DATE(YEAR(TODAY()),MONTH(TODAY()),C7),DATE(YEAR(TODAY()),MONTH(TODAY())+1,C7)))</f>
        <v>46309</v>
      </c>
      <c r="G7" s="10" t="n">
        <f aca="true">IF(F7="","",F7-TODAY())</f>
        <v>1</v>
      </c>
    </row>
    <row r="8" customFormat="false" ht="15" hidden="false" customHeight="false" outlineLevel="0" collapsed="false">
      <c r="A8" s="7" t="s">
        <v>26</v>
      </c>
      <c r="B8" s="8" t="n">
        <v>40</v>
      </c>
      <c r="C8" s="7" t="n">
        <v>18</v>
      </c>
      <c r="D8" s="7" t="s">
        <v>23</v>
      </c>
      <c r="E8" s="7" t="s">
        <v>24</v>
      </c>
      <c r="F8" s="9" t="n">
        <f aca="true">IF(N(C8)=0,"",IF(DAY(TODAY())&lt;=C8,DATE(YEAR(TODAY()),MONTH(TODAY()),C8),DATE(YEAR(TODAY()),MONTH(TODAY())+1,C8)))</f>
        <v>46313</v>
      </c>
      <c r="G8" s="10" t="n">
        <f aca="true">IF(F8="","",F8-TODAY())</f>
        <v>5</v>
      </c>
    </row>
    <row r="9" customFormat="false" ht="15" hidden="false" customHeight="false" outlineLevel="0" collapsed="false">
      <c r="A9" s="7" t="s">
        <v>27</v>
      </c>
      <c r="B9" s="8" t="n">
        <v>12</v>
      </c>
      <c r="C9" s="7" t="n">
        <v>22</v>
      </c>
      <c r="D9" s="7" t="s">
        <v>23</v>
      </c>
      <c r="E9" s="7" t="s">
        <v>28</v>
      </c>
      <c r="F9" s="9" t="n">
        <f aca="true">IF(N(C9)=0,"",IF(DAY(TODAY())&lt;=C9,DATE(YEAR(TODAY()),MONTH(TODAY()),C9),DATE(YEAR(TODAY()),MONTH(TODAY())+1,C9)))</f>
        <v>46317</v>
      </c>
      <c r="G9" s="10" t="n">
        <f aca="true">IF(F9="","",F9-TODAY())</f>
        <v>9</v>
      </c>
    </row>
    <row r="10" customFormat="false" ht="15" hidden="false" customHeight="false" outlineLevel="0" collapsed="false">
      <c r="A10" s="7" t="s">
        <v>29</v>
      </c>
      <c r="B10" s="8" t="n">
        <v>60</v>
      </c>
      <c r="C10" s="7" t="n">
        <v>26</v>
      </c>
      <c r="D10" s="7" t="s">
        <v>20</v>
      </c>
      <c r="E10" s="7" t="s">
        <v>21</v>
      </c>
      <c r="F10" s="9" t="n">
        <f aca="true">IF(N(C10)=0,"",IF(DAY(TODAY())&lt;=C10,DATE(YEAR(TODAY()),MONTH(TODAY()),C10),DATE(YEAR(TODAY()),MONTH(TODAY())+1,C10)))</f>
        <v>46321</v>
      </c>
      <c r="G10" s="10" t="n">
        <f aca="true">IF(F10="","",F10-TODAY())</f>
        <v>13</v>
      </c>
    </row>
    <row r="11" customFormat="false" ht="15" hidden="false" customHeight="false" outlineLevel="0" collapsed="false">
      <c r="A11" s="7"/>
      <c r="B11" s="8"/>
      <c r="C11" s="7"/>
      <c r="D11" s="7"/>
      <c r="E11" s="7"/>
      <c r="F11" s="9" t="str">
        <f aca="true">IF(N(C11)=0,"",IF(DAY(TODAY())&lt;=C11,DATE(YEAR(TODAY()),MONTH(TODAY()),C11),DATE(YEAR(TODAY()),MONTH(TODAY())+1,C11)))</f>
        <v/>
      </c>
      <c r="G11" s="10" t="str">
        <f aca="true">IF(F11="","",F11-TODAY())</f>
        <v/>
      </c>
    </row>
    <row r="12" customFormat="false" ht="15" hidden="false" customHeight="false" outlineLevel="0" collapsed="false">
      <c r="A12" s="7"/>
      <c r="B12" s="8"/>
      <c r="C12" s="7"/>
      <c r="D12" s="7"/>
      <c r="E12" s="7"/>
      <c r="F12" s="9" t="str">
        <f aca="true">IF(N(C12)=0,"",IF(DAY(TODAY())&lt;=C12,DATE(YEAR(TODAY()),MONTH(TODAY()),C12),DATE(YEAR(TODAY()),MONTH(TODAY())+1,C12)))</f>
        <v/>
      </c>
      <c r="G12" s="10" t="str">
        <f aca="true">IF(F12="","",F12-TODAY())</f>
        <v/>
      </c>
    </row>
    <row r="13" customFormat="false" ht="15" hidden="false" customHeight="false" outlineLevel="0" collapsed="false">
      <c r="A13" s="7"/>
      <c r="B13" s="8"/>
      <c r="C13" s="7"/>
      <c r="D13" s="7"/>
      <c r="E13" s="7"/>
      <c r="F13" s="9" t="str">
        <f aca="true">IF(N(C13)=0,"",IF(DAY(TODAY())&lt;=C13,DATE(YEAR(TODAY()),MONTH(TODAY()),C13),DATE(YEAR(TODAY()),MONTH(TODAY())+1,C13)))</f>
        <v/>
      </c>
      <c r="G13" s="10" t="str">
        <f aca="true">IF(F13="","",F13-TODAY())</f>
        <v/>
      </c>
    </row>
    <row r="14" customFormat="false" ht="15" hidden="false" customHeight="false" outlineLevel="0" collapsed="false">
      <c r="A14" s="7"/>
      <c r="B14" s="8"/>
      <c r="C14" s="7"/>
      <c r="D14" s="7"/>
      <c r="E14" s="7"/>
      <c r="F14" s="9" t="str">
        <f aca="true">IF(N(C14)=0,"",IF(DAY(TODAY())&lt;=C14,DATE(YEAR(TODAY()),MONTH(TODAY()),C14),DATE(YEAR(TODAY()),MONTH(TODAY())+1,C14)))</f>
        <v/>
      </c>
      <c r="G14" s="10" t="str">
        <f aca="true">IF(F14="","",F14-TODAY())</f>
        <v/>
      </c>
    </row>
    <row r="15" customFormat="false" ht="15" hidden="false" customHeight="false" outlineLevel="0" collapsed="false">
      <c r="A15" s="7"/>
      <c r="B15" s="8"/>
      <c r="C15" s="7"/>
      <c r="D15" s="7"/>
      <c r="E15" s="7"/>
      <c r="F15" s="9" t="str">
        <f aca="true">IF(N(C15)=0,"",IF(DAY(TODAY())&lt;=C15,DATE(YEAR(TODAY()),MONTH(TODAY()),C15),DATE(YEAR(TODAY()),MONTH(TODAY())+1,C15)))</f>
        <v/>
      </c>
      <c r="G15" s="10" t="str">
        <f aca="true">IF(F15="","",F15-TODAY())</f>
        <v/>
      </c>
    </row>
    <row r="16" customFormat="false" ht="15" hidden="false" customHeight="false" outlineLevel="0" collapsed="false">
      <c r="A16" s="7"/>
      <c r="B16" s="8"/>
      <c r="C16" s="7"/>
      <c r="D16" s="7"/>
      <c r="E16" s="7"/>
      <c r="F16" s="9" t="str">
        <f aca="true">IF(N(C16)=0,"",IF(DAY(TODAY())&lt;=C16,DATE(YEAR(TODAY()),MONTH(TODAY()),C16),DATE(YEAR(TODAY()),MONTH(TODAY())+1,C16)))</f>
        <v/>
      </c>
      <c r="G16" s="10" t="str">
        <f aca="true">IF(F16="","",F16-TODAY())</f>
        <v/>
      </c>
    </row>
    <row r="17" customFormat="false" ht="15" hidden="false" customHeight="false" outlineLevel="0" collapsed="false">
      <c r="A17" s="7"/>
      <c r="B17" s="8"/>
      <c r="C17" s="7"/>
      <c r="D17" s="7"/>
      <c r="E17" s="7"/>
      <c r="F17" s="9" t="str">
        <f aca="true">IF(N(C17)=0,"",IF(DAY(TODAY())&lt;=C17,DATE(YEAR(TODAY()),MONTH(TODAY()),C17),DATE(YEAR(TODAY()),MONTH(TODAY())+1,C17)))</f>
        <v/>
      </c>
      <c r="G17" s="10" t="str">
        <f aca="true">IF(F17="","",F17-TODAY())</f>
        <v/>
      </c>
    </row>
    <row r="18" customFormat="false" ht="15" hidden="false" customHeight="false" outlineLevel="0" collapsed="false">
      <c r="A18" s="7"/>
      <c r="B18" s="8"/>
      <c r="C18" s="7"/>
      <c r="D18" s="7"/>
      <c r="E18" s="7"/>
      <c r="F18" s="9" t="str">
        <f aca="true">IF(N(C18)=0,"",IF(DAY(TODAY())&lt;=C18,DATE(YEAR(TODAY()),MONTH(TODAY()),C18),DATE(YEAR(TODAY()),MONTH(TODAY())+1,C18)))</f>
        <v/>
      </c>
      <c r="G18" s="10" t="str">
        <f aca="true">IF(F18="","",F18-TODAY())</f>
        <v/>
      </c>
    </row>
    <row r="19" customFormat="false" ht="15" hidden="false" customHeight="false" outlineLevel="0" collapsed="false">
      <c r="A19" s="7"/>
      <c r="B19" s="8"/>
      <c r="C19" s="7"/>
      <c r="D19" s="7"/>
      <c r="E19" s="7"/>
      <c r="F19" s="9" t="str">
        <f aca="true">IF(N(C19)=0,"",IF(DAY(TODAY())&lt;=C19,DATE(YEAR(TODAY()),MONTH(TODAY()),C19),DATE(YEAR(TODAY()),MONTH(TODAY())+1,C19)))</f>
        <v/>
      </c>
      <c r="G19" s="10" t="str">
        <f aca="true">IF(F19="","",F19-TODAY())</f>
        <v/>
      </c>
    </row>
    <row r="21" customFormat="false" ht="15" hidden="false" customHeight="false" outlineLevel="0" collapsed="false">
      <c r="A21" s="11" t="s">
        <v>30</v>
      </c>
      <c r="B21" s="12" t="n">
        <f aca="false">SUM(B5:B19)</f>
        <v>642</v>
      </c>
      <c r="C21" s="13"/>
      <c r="D21" s="13"/>
      <c r="E21" s="13"/>
      <c r="F21" s="13"/>
      <c r="G21" s="13"/>
    </row>
    <row r="22" customFormat="false" ht="15" hidden="false" customHeight="false" outlineLevel="0" collapsed="false">
      <c r="A22" s="14" t="s">
        <v>31</v>
      </c>
      <c r="B22" s="15" t="n">
        <f aca="false">SUMIF(D5:D19,"Yes",B5:B19)</f>
        <v>132</v>
      </c>
    </row>
    <row r="23" customFormat="false" ht="15" hidden="false" customHeight="false" outlineLevel="0" collapsed="false">
      <c r="A23" s="14" t="s">
        <v>32</v>
      </c>
      <c r="B23" s="15" t="n">
        <f aca="false">B21-B22</f>
        <v>510</v>
      </c>
      <c r="C23" s="4" t="s">
        <v>33</v>
      </c>
    </row>
  </sheetData>
  <conditionalFormatting sqref="A5:G19">
    <cfRule type="expression" priority="2" aboveAverage="0" equalAverage="0" bottom="0" percent="0" rank="0" text="" dxfId="0">
      <formula>AND(ISNUMBER($G5),$G5&lt;=3)</formula>
    </cfRule>
  </conditionalFormatting>
  <dataValidations count="2">
    <dataValidation allowBlank="true" errorStyle="stop" operator="between" showDropDown="false" showErrorMessage="false" showInputMessage="false" sqref="D5:D19" type="list">
      <formula1>"Yes,No"</formula1>
      <formula2>0</formula2>
    </dataValidation>
    <dataValidation allowBlank="false" error="Use a day from 1 to 28." errorStyle="stop" operator="between" showDropDown="false" showErrorMessage="true" showInputMessage="false" sqref="C5:C19" type="whole">
      <formula1>1</formula1>
      <formula2>28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14" min="3" style="0" width="7"/>
  </cols>
  <sheetData>
    <row r="1" customFormat="false" ht="19.7" hidden="false" customHeight="false" outlineLevel="0" collapsed="false">
      <c r="A1" s="1" t="s">
        <v>34</v>
      </c>
    </row>
    <row r="2" customFormat="false" ht="15" hidden="false" customHeight="false" outlineLevel="0" collapsed="false">
      <c r="A2" s="4" t="s">
        <v>35</v>
      </c>
    </row>
    <row r="4" customFormat="false" ht="15" hidden="false" customHeight="false" outlineLevel="0" collapsed="false">
      <c r="A4" s="5" t="s">
        <v>12</v>
      </c>
      <c r="B4" s="6" t="s">
        <v>13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41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47</v>
      </c>
    </row>
    <row r="5" customFormat="false" ht="15" hidden="false" customHeight="false" outlineLevel="0" collapsed="false">
      <c r="A5" s="16" t="str">
        <f aca="false">IF(Bills!A5="","",Bills!A5)</f>
        <v>Rent</v>
      </c>
      <c r="B5" s="17" t="n">
        <f aca="false">N(Bills!B5)</f>
        <v>450</v>
      </c>
      <c r="C5" s="18"/>
      <c r="D5" s="18"/>
      <c r="E5" s="18"/>
      <c r="F5" s="18"/>
      <c r="G5" s="18"/>
      <c r="H5" s="18"/>
      <c r="I5" s="18"/>
      <c r="J5" s="18"/>
      <c r="K5" s="18" t="s">
        <v>48</v>
      </c>
      <c r="L5" s="18" t="s">
        <v>48</v>
      </c>
      <c r="M5" s="18"/>
      <c r="N5" s="18"/>
    </row>
    <row r="6" customFormat="false" ht="15" hidden="false" customHeight="false" outlineLevel="0" collapsed="false">
      <c r="A6" s="16" t="str">
        <f aca="false">IF(Bills!A6="","",Bills!A6)</f>
        <v>Electricity</v>
      </c>
      <c r="B6" s="17" t="n">
        <f aca="false">N(Bills!B6)</f>
        <v>45</v>
      </c>
      <c r="C6" s="18"/>
      <c r="D6" s="18"/>
      <c r="E6" s="18"/>
      <c r="F6" s="18"/>
      <c r="G6" s="18"/>
      <c r="H6" s="18"/>
      <c r="I6" s="18"/>
      <c r="J6" s="18"/>
      <c r="K6" s="18" t="s">
        <v>48</v>
      </c>
      <c r="L6" s="18" t="s">
        <v>48</v>
      </c>
      <c r="M6" s="18"/>
      <c r="N6" s="18"/>
    </row>
    <row r="7" customFormat="false" ht="15" hidden="false" customHeight="false" outlineLevel="0" collapsed="false">
      <c r="A7" s="16" t="str">
        <f aca="false">IF(Bills!A7="","",Bills!A7)</f>
        <v>Phone</v>
      </c>
      <c r="B7" s="17" t="n">
        <f aca="false">N(Bills!B7)</f>
        <v>35</v>
      </c>
      <c r="C7" s="18"/>
      <c r="D7" s="18"/>
      <c r="E7" s="18"/>
      <c r="F7" s="18"/>
      <c r="G7" s="18"/>
      <c r="H7" s="18"/>
      <c r="I7" s="18"/>
      <c r="J7" s="18"/>
      <c r="K7" s="18" t="s">
        <v>48</v>
      </c>
      <c r="L7" s="18"/>
      <c r="M7" s="18"/>
      <c r="N7" s="18"/>
    </row>
    <row r="8" customFormat="false" ht="15" hidden="false" customHeight="false" outlineLevel="0" collapsed="false">
      <c r="A8" s="16" t="str">
        <f aca="false">IF(Bills!A8="","",Bills!A8)</f>
        <v>Internet</v>
      </c>
      <c r="B8" s="17" t="n">
        <f aca="false">N(Bills!B8)</f>
        <v>40</v>
      </c>
      <c r="C8" s="18"/>
      <c r="D8" s="18"/>
      <c r="E8" s="18"/>
      <c r="F8" s="18"/>
      <c r="G8" s="18"/>
      <c r="H8" s="18"/>
      <c r="I8" s="18"/>
      <c r="J8" s="18"/>
      <c r="K8" s="18" t="s">
        <v>48</v>
      </c>
      <c r="L8" s="18"/>
      <c r="M8" s="18"/>
      <c r="N8" s="18"/>
    </row>
    <row r="9" customFormat="false" ht="15" hidden="false" customHeight="false" outlineLevel="0" collapsed="false">
      <c r="A9" s="16" t="str">
        <f aca="false">IF(Bills!A9="","",Bills!A9)</f>
        <v>Streaming</v>
      </c>
      <c r="B9" s="17" t="n">
        <f aca="false">N(Bills!B9)</f>
        <v>12</v>
      </c>
      <c r="C9" s="18"/>
      <c r="D9" s="18"/>
      <c r="E9" s="18"/>
      <c r="F9" s="18"/>
      <c r="G9" s="18"/>
      <c r="H9" s="18"/>
      <c r="I9" s="18"/>
      <c r="J9" s="18"/>
      <c r="K9" s="18" t="s">
        <v>48</v>
      </c>
      <c r="L9" s="18"/>
      <c r="M9" s="18"/>
      <c r="N9" s="18"/>
    </row>
    <row r="10" customFormat="false" ht="15" hidden="false" customHeight="false" outlineLevel="0" collapsed="false">
      <c r="A10" s="16" t="str">
        <f aca="false">IF(Bills!A10="","",Bills!A10)</f>
        <v>Student loan</v>
      </c>
      <c r="B10" s="17" t="n">
        <f aca="false">N(Bills!B10)</f>
        <v>60</v>
      </c>
      <c r="C10" s="18"/>
      <c r="D10" s="18"/>
      <c r="E10" s="18"/>
      <c r="F10" s="18"/>
      <c r="G10" s="18"/>
      <c r="H10" s="18"/>
      <c r="I10" s="18"/>
      <c r="J10" s="18"/>
      <c r="K10" s="18" t="s">
        <v>48</v>
      </c>
      <c r="L10" s="18"/>
      <c r="M10" s="18"/>
      <c r="N10" s="18"/>
    </row>
    <row r="11" customFormat="false" ht="15" hidden="false" customHeight="false" outlineLevel="0" collapsed="false">
      <c r="A11" s="16" t="str">
        <f aca="false">IF(Bills!A11="","",Bills!A11)</f>
        <v/>
      </c>
      <c r="B11" s="17" t="n">
        <f aca="false">N(Bills!B11)</f>
        <v>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customFormat="false" ht="15" hidden="false" customHeight="false" outlineLevel="0" collapsed="false">
      <c r="A12" s="16" t="str">
        <f aca="false">IF(Bills!A12="","",Bills!A12)</f>
        <v/>
      </c>
      <c r="B12" s="17" t="n">
        <f aca="false">N(Bills!B12)</f>
        <v>0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customFormat="false" ht="15" hidden="false" customHeight="false" outlineLevel="0" collapsed="false">
      <c r="A13" s="16" t="str">
        <f aca="false">IF(Bills!A13="","",Bills!A13)</f>
        <v/>
      </c>
      <c r="B13" s="17" t="n">
        <f aca="false">N(Bills!B13)</f>
        <v>0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customFormat="false" ht="15" hidden="false" customHeight="false" outlineLevel="0" collapsed="false">
      <c r="A14" s="16" t="str">
        <f aca="false">IF(Bills!A14="","",Bills!A14)</f>
        <v/>
      </c>
      <c r="B14" s="17" t="n">
        <f aca="false">N(Bills!B14)</f>
        <v>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customFormat="false" ht="15" hidden="false" customHeight="false" outlineLevel="0" collapsed="false">
      <c r="A15" s="16" t="str">
        <f aca="false">IF(Bills!A15="","",Bills!A15)</f>
        <v/>
      </c>
      <c r="B15" s="17" t="n">
        <f aca="false">N(Bills!B15)</f>
        <v>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customFormat="false" ht="15" hidden="false" customHeight="false" outlineLevel="0" collapsed="false">
      <c r="A16" s="16" t="str">
        <f aca="false">IF(Bills!A16="","",Bills!A16)</f>
        <v/>
      </c>
      <c r="B16" s="17" t="n">
        <f aca="false">N(Bills!B16)</f>
        <v>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customFormat="false" ht="15" hidden="false" customHeight="false" outlineLevel="0" collapsed="false">
      <c r="A17" s="16" t="str">
        <f aca="false">IF(Bills!A17="","",Bills!A17)</f>
        <v/>
      </c>
      <c r="B17" s="17" t="n">
        <f aca="false">N(Bills!B17)</f>
        <v>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customFormat="false" ht="15" hidden="false" customHeight="false" outlineLevel="0" collapsed="false">
      <c r="A18" s="16" t="str">
        <f aca="false">IF(Bills!A18="","",Bills!A18)</f>
        <v/>
      </c>
      <c r="B18" s="17" t="n">
        <f aca="false">N(Bills!B18)</f>
        <v>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customFormat="false" ht="15" hidden="false" customHeight="false" outlineLevel="0" collapsed="false">
      <c r="A19" s="16" t="str">
        <f aca="false">IF(Bills!A19="","",Bills!A19)</f>
        <v/>
      </c>
      <c r="B19" s="17" t="n">
        <f aca="false">N(Bills!B19)</f>
        <v>0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1" customFormat="false" ht="15" hidden="false" customHeight="false" outlineLevel="0" collapsed="false">
      <c r="A21" s="11" t="s">
        <v>49</v>
      </c>
      <c r="B21" s="13"/>
      <c r="C21" s="19" t="n">
        <f aca="false">SUMPRODUCT((LOWER(C5:C19)="x")*$B$5:$B$19)</f>
        <v>0</v>
      </c>
      <c r="D21" s="19" t="n">
        <f aca="false">SUMPRODUCT((LOWER(D5:D19)="x")*$B$5:$B$19)</f>
        <v>0</v>
      </c>
      <c r="E21" s="19" t="n">
        <f aca="false">SUMPRODUCT((LOWER(E5:E19)="x")*$B$5:$B$19)</f>
        <v>0</v>
      </c>
      <c r="F21" s="19" t="n">
        <f aca="false">SUMPRODUCT((LOWER(F5:F19)="x")*$B$5:$B$19)</f>
        <v>0</v>
      </c>
      <c r="G21" s="19" t="n">
        <f aca="false">SUMPRODUCT((LOWER(G5:G19)="x")*$B$5:$B$19)</f>
        <v>0</v>
      </c>
      <c r="H21" s="19" t="n">
        <f aca="false">SUMPRODUCT((LOWER(H5:H19)="x")*$B$5:$B$19)</f>
        <v>0</v>
      </c>
      <c r="I21" s="19" t="n">
        <f aca="false">SUMPRODUCT((LOWER(I5:I19)="x")*$B$5:$B$19)</f>
        <v>0</v>
      </c>
      <c r="J21" s="19" t="n">
        <f aca="false">SUMPRODUCT((LOWER(J5:J19)="x")*$B$5:$B$19)</f>
        <v>0</v>
      </c>
      <c r="K21" s="19" t="n">
        <f aca="false">SUMPRODUCT((LOWER(K5:K19)="x")*$B$5:$B$19)</f>
        <v>642</v>
      </c>
      <c r="L21" s="19" t="n">
        <f aca="false">SUMPRODUCT((LOWER(L5:L19)="x")*$B$5:$B$19)</f>
        <v>495</v>
      </c>
      <c r="M21" s="19" t="n">
        <f aca="false">SUMPRODUCT((LOWER(M5:M19)="x")*$B$5:$B$19)</f>
        <v>0</v>
      </c>
      <c r="N21" s="19" t="n">
        <f aca="false">SUMPRODUCT((LOWER(N5:N19)="x")*$B$5:$B$19)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2026-10-13T12:27:59Z</dcterms:created>
  <dc:creator>openpyxl</dc:creator>
  <dc:description/>
  <dc:language>en-US</dc:language>
  <cp:lastModifiedBy/>
  <dcterms:modified xsi:type="dcterms:W3CDTF">2026-10-13T12:27:59Z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