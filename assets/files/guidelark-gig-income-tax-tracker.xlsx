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Payouts" sheetId="2" state="visible" r:id="rId4"/>
    <sheet name="Quar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<sst xmlns="http://schemas.openxmlformats.org/spreadsheetml/2006/main" count="61" uniqueCount="50">
  <si>
    <t xml:space="preserve">Gig income and tax tracker (US)</t>
  </si>
  <si>
    <t xml:space="preserve">How to use it</t>
  </si>
  <si>
    <t xml:space="preserve">1. On the Payouts tab, set your tax set-aside percentage (25% is a good start) and your mileage rate.</t>
  </si>
  <si>
    <t xml:space="preserve">2. Log every payout with its date, the miles you drove for work and any other work costs.</t>
  </si>
  <si>
    <t xml:space="preserve">3. Move the "Set aside" amount into a separate savings account the day the payout lands.</t>
  </si>
  <si>
    <t xml:space="preserve">4. The Quarters tab totals each IRS payment period and shows a rough self-employment tax estimate.</t>
  </si>
  <si>
    <t xml:space="preserve">Rough estimate for planning only. It ignores income tax, state tax and credits. Not tax advice.</t>
  </si>
  <si>
    <t xml:space="preserve">IRS business mileage rate for 2026: 72.5 cents a mile Jan 1 to Jun 30, 76 cents from Jul 1.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</si>
  <si>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</si>
  <si>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</si>
  <si>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https://guidelark.com/blog/gig-worker-taxes/</t>
  </si>
  <si>
    <t xml:space="preserve">Free to use and share. General information, not financial advice.</t>
  </si>
  <si>
    <t xml:space="preserve">Gig payouts</t>
  </si>
  <si>
    <t xml:space="preserve">Tax set-aside</t>
  </si>
  <si>
    <t xml:space="preserve">Mileage rate per mile</t>
  </si>
  <si>
    <t xml:space="preserve">Date</t>
  </si>
  <si>
    <t xml:space="preserve">App or client</t>
  </si>
  <si>
    <t xml:space="preserve">Payout</t>
  </si>
  <si>
    <t xml:space="preserve">Set aside</t>
  </si>
  <si>
    <t xml:space="preserve">Work miles</t>
  </si>
  <si>
    <t xml:space="preserve">Mileage deduction</t>
  </si>
  <si>
    <t xml:space="preserve">Other work costs</t>
  </si>
  <si>
    <t xml:space="preserve">Note</t>
  </si>
  <si>
    <t xml:space="preserve">DoorDash</t>
  </si>
  <si>
    <t xml:space="preserve">Phone share</t>
  </si>
  <si>
    <t xml:space="preserve">Uber Eats</t>
  </si>
  <si>
    <t xml:space="preserve">Instacart</t>
  </si>
  <si>
    <t xml:space="preserve">Delivery bag</t>
  </si>
  <si>
    <t xml:space="preserve">Phone mount</t>
  </si>
  <si>
    <t xml:space="preserve">IRS payment periods</t>
  </si>
  <si>
    <t xml:space="preserve">Totals come from the Payouts tab. Change the year to see another year.</t>
  </si>
  <si>
    <t xml:space="preserve">Tax year</t>
  </si>
  <si>
    <t xml:space="preserve">Period</t>
  </si>
  <si>
    <t xml:space="preserve">From</t>
  </si>
  <si>
    <t xml:space="preserve">To</t>
  </si>
  <si>
    <t xml:space="preserve">Payouts</t>
  </si>
  <si>
    <t xml:space="preserve">Work costs</t>
  </si>
  <si>
    <t xml:space="preserve">Profit</t>
  </si>
  <si>
    <t xml:space="preserve">Rough SE tax</t>
  </si>
  <si>
    <t xml:space="preserve">Payment due</t>
  </si>
  <si>
    <t xml:space="preserve">Period 1</t>
  </si>
  <si>
    <t xml:space="preserve">April 15</t>
  </si>
  <si>
    <t xml:space="preserve">Period 2</t>
  </si>
  <si>
    <t xml:space="preserve">June 15</t>
  </si>
  <si>
    <t xml:space="preserve">Period 3</t>
  </si>
  <si>
    <t xml:space="preserve">September 15</t>
  </si>
  <si>
    <t xml:space="preserve">Period 4</t>
  </si>
  <si>
    <t xml:space="preserve">January 15 next year</t>
  </si>
  <si>
    <t xml:space="preserve">Year total</t>
  </si>
  <si>
    <t xml:space="preserve">Self-employment tax is 15.3% of 92.35% of profit. Income tax may be due on top if your total income is above the standard deduction.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</si>
</sst>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0.000"/>
    <numFmt numFmtId="167" formatCode="yyyy\-mm\-dd"/>
    <numFmt numFmtId="168" formatCode="\$#,##0.00;[RED]&quot;-$&quot;#,##0.00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5607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12</v>
      </c>
    </row>
    <row r="3" customFormat="false" ht="15" hidden="false" customHeight="false" outlineLevel="0" collapsed="false">
      <c r="A3" s="4" t="s">
        <v>13</v>
      </c>
      <c r="B3" s="5" t="n">
        <v>0.25</v>
      </c>
    </row>
    <row r="4" customFormat="false" ht="15" hidden="false" customHeight="false" outlineLevel="0" collapsed="false">
      <c r="A4" s="4" t="s">
        <v>14</v>
      </c>
      <c r="B4" s="6" t="n">
        <v>0.76</v>
      </c>
    </row>
    <row r="6" customFormat="false" ht="30" hidden="false" customHeight="true" outlineLevel="0" collapsed="false">
      <c r="A6" s="7" t="s">
        <v>15</v>
      </c>
      <c r="B6" s="7" t="s">
        <v>16</v>
      </c>
      <c r="C6" s="8" t="s">
        <v>17</v>
      </c>
      <c r="D6" s="8" t="s">
        <v>18</v>
      </c>
      <c r="E6" s="8" t="s">
        <v>19</v>
      </c>
      <c r="F6" s="8" t="s">
        <v>20</v>
      </c>
      <c r="G6" s="8" t="s">
        <v>21</v>
      </c>
      <c r="H6" s="7" t="s">
        <v>22</v>
      </c>
    </row>
    <row r="7" customFormat="false" ht="15" hidden="false" customHeight="false" outlineLevel="0" collapsed="false">
      <c r="A7" s="9" t="n">
        <v>46272</v>
      </c>
      <c r="B7" s="10" t="s">
        <v>23</v>
      </c>
      <c r="C7" s="11" t="n">
        <v>300</v>
      </c>
      <c r="D7" s="12" t="n">
        <f aca="false">IF(N(C7)=0,"",C7*$B$3)</f>
        <v>75</v>
      </c>
      <c r="E7" s="10" t="n">
        <v>92</v>
      </c>
      <c r="F7" s="12" t="n">
        <f aca="false">IF(N(E7)=0,"",E7*$B$4)</f>
        <v>69.92</v>
      </c>
      <c r="G7" s="11" t="n">
        <v>40</v>
      </c>
      <c r="H7" s="10" t="s">
        <v>24</v>
      </c>
    </row>
    <row r="8" customFormat="false" ht="15" hidden="false" customHeight="false" outlineLevel="0" collapsed="false">
      <c r="A8" s="9" t="n">
        <v>46279</v>
      </c>
      <c r="B8" s="10" t="s">
        <v>25</v>
      </c>
      <c r="C8" s="11" t="n">
        <v>300</v>
      </c>
      <c r="D8" s="12" t="n">
        <f aca="false">IF(N(C8)=0,"",C8*$B$3)</f>
        <v>75</v>
      </c>
      <c r="E8" s="10" t="n">
        <v>92</v>
      </c>
      <c r="F8" s="12" t="n">
        <f aca="false">IF(N(E8)=0,"",E8*$B$4)</f>
        <v>69.92</v>
      </c>
      <c r="G8" s="11"/>
      <c r="H8" s="10"/>
    </row>
    <row r="9" customFormat="false" ht="15" hidden="false" customHeight="false" outlineLevel="0" collapsed="false">
      <c r="A9" s="9" t="n">
        <v>46286</v>
      </c>
      <c r="B9" s="10" t="s">
        <v>26</v>
      </c>
      <c r="C9" s="11" t="n">
        <v>300</v>
      </c>
      <c r="D9" s="12" t="n">
        <f aca="false">IF(N(C9)=0,"",C9*$B$3)</f>
        <v>75</v>
      </c>
      <c r="E9" s="10" t="n">
        <v>92</v>
      </c>
      <c r="F9" s="12" t="n">
        <f aca="false">IF(N(E9)=0,"",E9*$B$4)</f>
        <v>69.92</v>
      </c>
      <c r="G9" s="11"/>
      <c r="H9" s="10"/>
    </row>
    <row r="10" customFormat="false" ht="15" hidden="false" customHeight="false" outlineLevel="0" collapsed="false">
      <c r="A10" s="9" t="n">
        <v>46293</v>
      </c>
      <c r="B10" s="10" t="s">
        <v>23</v>
      </c>
      <c r="C10" s="11" t="n">
        <v>300</v>
      </c>
      <c r="D10" s="12" t="n">
        <f aca="false">IF(N(C10)=0,"",C10*$B$3)</f>
        <v>75</v>
      </c>
      <c r="E10" s="10" t="n">
        <v>92</v>
      </c>
      <c r="F10" s="12" t="n">
        <f aca="false">IF(N(E10)=0,"",E10*$B$4)</f>
        <v>69.92</v>
      </c>
      <c r="G10" s="11"/>
      <c r="H10" s="10"/>
    </row>
    <row r="11" customFormat="false" ht="15" hidden="false" customHeight="false" outlineLevel="0" collapsed="false">
      <c r="A11" s="9" t="n">
        <v>46300</v>
      </c>
      <c r="B11" s="10" t="s">
        <v>25</v>
      </c>
      <c r="C11" s="11" t="n">
        <v>300</v>
      </c>
      <c r="D11" s="12" t="n">
        <f aca="false">IF(N(C11)=0,"",C11*$B$3)</f>
        <v>75</v>
      </c>
      <c r="E11" s="10" t="n">
        <v>92</v>
      </c>
      <c r="F11" s="12" t="n">
        <f aca="false">IF(N(E11)=0,"",E11*$B$4)</f>
        <v>69.92</v>
      </c>
      <c r="G11" s="11" t="n">
        <v>30</v>
      </c>
      <c r="H11" s="10" t="s">
        <v>27</v>
      </c>
    </row>
    <row r="12" customFormat="false" ht="15" hidden="false" customHeight="false" outlineLevel="0" collapsed="false">
      <c r="A12" s="9" t="n">
        <v>46307</v>
      </c>
      <c r="B12" s="10" t="s">
        <v>26</v>
      </c>
      <c r="C12" s="11" t="n">
        <v>300</v>
      </c>
      <c r="D12" s="12" t="n">
        <f aca="false">IF(N(C12)=0,"",C12*$B$3)</f>
        <v>75</v>
      </c>
      <c r="E12" s="10" t="n">
        <v>92</v>
      </c>
      <c r="F12" s="12" t="n">
        <f aca="false">IF(N(E12)=0,"",E12*$B$4)</f>
        <v>69.92</v>
      </c>
      <c r="G12" s="11"/>
      <c r="H12" s="10"/>
    </row>
    <row r="13" customFormat="false" ht="15" hidden="false" customHeight="false" outlineLevel="0" collapsed="false">
      <c r="A13" s="9" t="n">
        <v>46314</v>
      </c>
      <c r="B13" s="10" t="s">
        <v>23</v>
      </c>
      <c r="C13" s="11" t="n">
        <v>300</v>
      </c>
      <c r="D13" s="12" t="n">
        <f aca="false">IF(N(C13)=0,"",C13*$B$3)</f>
        <v>75</v>
      </c>
      <c r="E13" s="10" t="n">
        <v>92</v>
      </c>
      <c r="F13" s="12" t="n">
        <f aca="false">IF(N(E13)=0,"",E13*$B$4)</f>
        <v>69.92</v>
      </c>
      <c r="G13" s="11"/>
      <c r="H13" s="10"/>
    </row>
    <row r="14" customFormat="false" ht="15" hidden="false" customHeight="false" outlineLevel="0" collapsed="false">
      <c r="A14" s="9" t="n">
        <v>46321</v>
      </c>
      <c r="B14" s="10" t="s">
        <v>25</v>
      </c>
      <c r="C14" s="11" t="n">
        <v>300</v>
      </c>
      <c r="D14" s="12" t="n">
        <f aca="false">IF(N(C14)=0,"",C14*$B$3)</f>
        <v>75</v>
      </c>
      <c r="E14" s="10" t="n">
        <v>92</v>
      </c>
      <c r="F14" s="12" t="n">
        <f aca="false">IF(N(E14)=0,"",E14*$B$4)</f>
        <v>69.92</v>
      </c>
      <c r="G14" s="11"/>
      <c r="H14" s="10"/>
    </row>
    <row r="15" customFormat="false" ht="15" hidden="false" customHeight="false" outlineLevel="0" collapsed="false">
      <c r="A15" s="9" t="n">
        <v>46328</v>
      </c>
      <c r="B15" s="10" t="s">
        <v>26</v>
      </c>
      <c r="C15" s="11" t="n">
        <v>300</v>
      </c>
      <c r="D15" s="12" t="n">
        <f aca="false">IF(N(C15)=0,"",C15*$B$3)</f>
        <v>75</v>
      </c>
      <c r="E15" s="10" t="n">
        <v>92</v>
      </c>
      <c r="F15" s="12" t="n">
        <f aca="false">IF(N(E15)=0,"",E15*$B$4)</f>
        <v>69.92</v>
      </c>
      <c r="G15" s="11" t="n">
        <v>18</v>
      </c>
      <c r="H15" s="10" t="s">
        <v>28</v>
      </c>
    </row>
    <row r="16" customFormat="false" ht="15" hidden="false" customHeight="false" outlineLevel="0" collapsed="false">
      <c r="A16" s="9" t="n">
        <v>46335</v>
      </c>
      <c r="B16" s="10" t="s">
        <v>23</v>
      </c>
      <c r="C16" s="11" t="n">
        <v>300</v>
      </c>
      <c r="D16" s="12" t="n">
        <f aca="false">IF(N(C16)=0,"",C16*$B$3)</f>
        <v>75</v>
      </c>
      <c r="E16" s="10" t="n">
        <v>92</v>
      </c>
      <c r="F16" s="12" t="n">
        <f aca="false">IF(N(E16)=0,"",E16*$B$4)</f>
        <v>69.92</v>
      </c>
      <c r="G16" s="11"/>
      <c r="H16" s="10"/>
    </row>
    <row r="17" customFormat="false" ht="15" hidden="false" customHeight="false" outlineLevel="0" collapsed="false">
      <c r="A17" s="9" t="n">
        <v>46342</v>
      </c>
      <c r="B17" s="10" t="s">
        <v>25</v>
      </c>
      <c r="C17" s="11" t="n">
        <v>300</v>
      </c>
      <c r="D17" s="12" t="n">
        <f aca="false">IF(N(C17)=0,"",C17*$B$3)</f>
        <v>75</v>
      </c>
      <c r="E17" s="10" t="n">
        <v>92</v>
      </c>
      <c r="F17" s="12" t="n">
        <f aca="false">IF(N(E17)=0,"",E17*$B$4)</f>
        <v>69.92</v>
      </c>
      <c r="G17" s="11"/>
      <c r="H17" s="10"/>
    </row>
    <row r="18" customFormat="false" ht="15" hidden="false" customHeight="false" outlineLevel="0" collapsed="false">
      <c r="A18" s="9" t="n">
        <v>46349</v>
      </c>
      <c r="B18" s="10" t="s">
        <v>26</v>
      </c>
      <c r="C18" s="11" t="n">
        <v>300</v>
      </c>
      <c r="D18" s="12" t="n">
        <f aca="false">IF(N(C18)=0,"",C18*$B$3)</f>
        <v>75</v>
      </c>
      <c r="E18" s="10" t="n">
        <v>92</v>
      </c>
      <c r="F18" s="12" t="n">
        <f aca="false">IF(N(E18)=0,"",E18*$B$4)</f>
        <v>69.92</v>
      </c>
      <c r="G18" s="11"/>
      <c r="H18" s="10"/>
    </row>
    <row r="19" customFormat="false" ht="15" hidden="false" customHeight="false" outlineLevel="0" collapsed="false">
      <c r="A19" s="9" t="n">
        <v>46356</v>
      </c>
      <c r="B19" s="10" t="s">
        <v>23</v>
      </c>
      <c r="C19" s="11" t="n">
        <v>300</v>
      </c>
      <c r="D19" s="12" t="n">
        <f aca="false">IF(N(C19)=0,"",C19*$B$3)</f>
        <v>75</v>
      </c>
      <c r="E19" s="10" t="n">
        <v>96</v>
      </c>
      <c r="F19" s="12" t="n">
        <f aca="false">IF(N(E19)=0,"",E19*$B$4)</f>
        <v>72.96</v>
      </c>
      <c r="G19" s="11"/>
      <c r="H19" s="10"/>
    </row>
    <row r="20" customFormat="false" ht="15" hidden="false" customHeight="false" outlineLevel="0" collapsed="false">
      <c r="A20" s="9"/>
      <c r="B20" s="10"/>
      <c r="C20" s="11"/>
      <c r="D20" s="12" t="str">
        <f aca="false">IF(N(C20)=0,"",C20*$B$3)</f>
        <v/>
      </c>
      <c r="E20" s="10"/>
      <c r="F20" s="12" t="str">
        <f aca="false">IF(N(E20)=0,"",E20*$B$4)</f>
        <v/>
      </c>
      <c r="G20" s="11"/>
      <c r="H20" s="10"/>
    </row>
    <row r="21" customFormat="false" ht="15" hidden="false" customHeight="false" outlineLevel="0" collapsed="false">
      <c r="A21" s="9"/>
      <c r="B21" s="10"/>
      <c r="C21" s="11"/>
      <c r="D21" s="12" t="str">
        <f aca="false">IF(N(C21)=0,"",C21*$B$3)</f>
        <v/>
      </c>
      <c r="E21" s="10"/>
      <c r="F21" s="12" t="str">
        <f aca="false">IF(N(E21)=0,"",E21*$B$4)</f>
        <v/>
      </c>
      <c r="G21" s="11"/>
      <c r="H21" s="10"/>
    </row>
    <row r="22" customFormat="false" ht="15" hidden="false" customHeight="false" outlineLevel="0" collapsed="false">
      <c r="A22" s="9"/>
      <c r="B22" s="10"/>
      <c r="C22" s="11"/>
      <c r="D22" s="12" t="str">
        <f aca="false">IF(N(C22)=0,"",C22*$B$3)</f>
        <v/>
      </c>
      <c r="E22" s="10"/>
      <c r="F22" s="12" t="str">
        <f aca="false">IF(N(E22)=0,"",E22*$B$4)</f>
        <v/>
      </c>
      <c r="G22" s="11"/>
      <c r="H22" s="10"/>
    </row>
    <row r="23" customFormat="false" ht="15" hidden="false" customHeight="false" outlineLevel="0" collapsed="false">
      <c r="A23" s="9"/>
      <c r="B23" s="10"/>
      <c r="C23" s="11"/>
      <c r="D23" s="12" t="str">
        <f aca="false">IF(N(C23)=0,"",C23*$B$3)</f>
        <v/>
      </c>
      <c r="E23" s="10"/>
      <c r="F23" s="12" t="str">
        <f aca="false">IF(N(E23)=0,"",E23*$B$4)</f>
        <v/>
      </c>
      <c r="G23" s="11"/>
      <c r="H23" s="10"/>
    </row>
    <row r="24" customFormat="false" ht="15" hidden="false" customHeight="false" outlineLevel="0" collapsed="false">
      <c r="A24" s="9"/>
      <c r="B24" s="10"/>
      <c r="C24" s="11"/>
      <c r="D24" s="12" t="str">
        <f aca="false">IF(N(C24)=0,"",C24*$B$3)</f>
        <v/>
      </c>
      <c r="E24" s="10"/>
      <c r="F24" s="12" t="str">
        <f aca="false">IF(N(E24)=0,"",E24*$B$4)</f>
        <v/>
      </c>
      <c r="G24" s="11"/>
      <c r="H24" s="10"/>
    </row>
    <row r="25" customFormat="false" ht="15" hidden="false" customHeight="false" outlineLevel="0" collapsed="false">
      <c r="A25" s="9"/>
      <c r="B25" s="10"/>
      <c r="C25" s="11"/>
      <c r="D25" s="12" t="str">
        <f aca="false">IF(N(C25)=0,"",C25*$B$3)</f>
        <v/>
      </c>
      <c r="E25" s="10"/>
      <c r="F25" s="12" t="str">
        <f aca="false">IF(N(E25)=0,"",E25*$B$4)</f>
        <v/>
      </c>
      <c r="G25" s="11"/>
      <c r="H25" s="10"/>
    </row>
    <row r="26" customFormat="false" ht="15" hidden="false" customHeight="false" outlineLevel="0" collapsed="false">
      <c r="A26" s="9"/>
      <c r="B26" s="10"/>
      <c r="C26" s="11"/>
      <c r="D26" s="12" t="str">
        <f aca="false">IF(N(C26)=0,"",C26*$B$3)</f>
        <v/>
      </c>
      <c r="E26" s="10"/>
      <c r="F26" s="12" t="str">
        <f aca="false">IF(N(E26)=0,"",E26*$B$4)</f>
        <v/>
      </c>
      <c r="G26" s="11"/>
      <c r="H26" s="10"/>
    </row>
    <row r="27" customFormat="false" ht="15" hidden="false" customHeight="false" outlineLevel="0" collapsed="false">
      <c r="A27" s="9"/>
      <c r="B27" s="10"/>
      <c r="C27" s="11"/>
      <c r="D27" s="12" t="str">
        <f aca="false">IF(N(C27)=0,"",C27*$B$3)</f>
        <v/>
      </c>
      <c r="E27" s="10"/>
      <c r="F27" s="12" t="str">
        <f aca="false">IF(N(E27)=0,"",E27*$B$4)</f>
        <v/>
      </c>
      <c r="G27" s="11"/>
      <c r="H27" s="10"/>
    </row>
    <row r="28" customFormat="false" ht="15" hidden="false" customHeight="false" outlineLevel="0" collapsed="false">
      <c r="A28" s="9"/>
      <c r="B28" s="10"/>
      <c r="C28" s="11"/>
      <c r="D28" s="12" t="str">
        <f aca="false">IF(N(C28)=0,"",C28*$B$3)</f>
        <v/>
      </c>
      <c r="E28" s="10"/>
      <c r="F28" s="12" t="str">
        <f aca="false">IF(N(E28)=0,"",E28*$B$4)</f>
        <v/>
      </c>
      <c r="G28" s="11"/>
      <c r="H28" s="10"/>
    </row>
    <row r="29" customFormat="false" ht="15" hidden="false" customHeight="false" outlineLevel="0" collapsed="false">
      <c r="A29" s="9"/>
      <c r="B29" s="10"/>
      <c r="C29" s="11"/>
      <c r="D29" s="12" t="str">
        <f aca="false">IF(N(C29)=0,"",C29*$B$3)</f>
        <v/>
      </c>
      <c r="E29" s="10"/>
      <c r="F29" s="12" t="str">
        <f aca="false">IF(N(E29)=0,"",E29*$B$4)</f>
        <v/>
      </c>
      <c r="G29" s="11"/>
      <c r="H29" s="10"/>
    </row>
    <row r="30" customFormat="false" ht="15" hidden="false" customHeight="false" outlineLevel="0" collapsed="false">
      <c r="A30" s="9"/>
      <c r="B30" s="10"/>
      <c r="C30" s="11"/>
      <c r="D30" s="12" t="str">
        <f aca="false">IF(N(C30)=0,"",C30*$B$3)</f>
        <v/>
      </c>
      <c r="E30" s="10"/>
      <c r="F30" s="12" t="str">
        <f aca="false">IF(N(E30)=0,"",E30*$B$4)</f>
        <v/>
      </c>
      <c r="G30" s="11"/>
      <c r="H30" s="10"/>
    </row>
    <row r="31" customFormat="false" ht="15" hidden="false" customHeight="false" outlineLevel="0" collapsed="false">
      <c r="A31" s="9"/>
      <c r="B31" s="10"/>
      <c r="C31" s="11"/>
      <c r="D31" s="12" t="str">
        <f aca="false">IF(N(C31)=0,"",C31*$B$3)</f>
        <v/>
      </c>
      <c r="E31" s="10"/>
      <c r="F31" s="12" t="str">
        <f aca="false">IF(N(E31)=0,"",E31*$B$4)</f>
        <v/>
      </c>
      <c r="G31" s="11"/>
      <c r="H31" s="10"/>
    </row>
    <row r="32" customFormat="false" ht="15" hidden="false" customHeight="false" outlineLevel="0" collapsed="false">
      <c r="A32" s="9"/>
      <c r="B32" s="10"/>
      <c r="C32" s="11"/>
      <c r="D32" s="12" t="str">
        <f aca="false">IF(N(C32)=0,"",C32*$B$3)</f>
        <v/>
      </c>
      <c r="E32" s="10"/>
      <c r="F32" s="12" t="str">
        <f aca="false">IF(N(E32)=0,"",E32*$B$4)</f>
        <v/>
      </c>
      <c r="G32" s="11"/>
      <c r="H32" s="10"/>
    </row>
    <row r="33" customFormat="false" ht="15" hidden="false" customHeight="false" outlineLevel="0" collapsed="false">
      <c r="A33" s="9"/>
      <c r="B33" s="10"/>
      <c r="C33" s="11"/>
      <c r="D33" s="12" t="str">
        <f aca="false">IF(N(C33)=0,"",C33*$B$3)</f>
        <v/>
      </c>
      <c r="E33" s="10"/>
      <c r="F33" s="12" t="str">
        <f aca="false">IF(N(E33)=0,"",E33*$B$4)</f>
        <v/>
      </c>
      <c r="G33" s="11"/>
      <c r="H33" s="10"/>
    </row>
    <row r="34" customFormat="false" ht="15" hidden="false" customHeight="false" outlineLevel="0" collapsed="false">
      <c r="A34" s="9"/>
      <c r="B34" s="10"/>
      <c r="C34" s="11"/>
      <c r="D34" s="12" t="str">
        <f aca="false">IF(N(C34)=0,"",C34*$B$3)</f>
        <v/>
      </c>
      <c r="E34" s="10"/>
      <c r="F34" s="12" t="str">
        <f aca="false">IF(N(E34)=0,"",E34*$B$4)</f>
        <v/>
      </c>
      <c r="G34" s="11"/>
      <c r="H34" s="10"/>
    </row>
    <row r="35" customFormat="false" ht="15" hidden="false" customHeight="false" outlineLevel="0" collapsed="false">
      <c r="A35" s="9"/>
      <c r="B35" s="10"/>
      <c r="C35" s="11"/>
      <c r="D35" s="12" t="str">
        <f aca="false">IF(N(C35)=0,"",C35*$B$3)</f>
        <v/>
      </c>
      <c r="E35" s="10"/>
      <c r="F35" s="12" t="str">
        <f aca="false">IF(N(E35)=0,"",E35*$B$4)</f>
        <v/>
      </c>
      <c r="G35" s="11"/>
      <c r="H35" s="10"/>
    </row>
    <row r="36" customFormat="false" ht="15" hidden="false" customHeight="false" outlineLevel="0" collapsed="false">
      <c r="A36" s="9"/>
      <c r="B36" s="10"/>
      <c r="C36" s="11"/>
      <c r="D36" s="12" t="str">
        <f aca="false">IF(N(C36)=0,"",C36*$B$3)</f>
        <v/>
      </c>
      <c r="E36" s="10"/>
      <c r="F36" s="12" t="str">
        <f aca="false">IF(N(E36)=0,"",E36*$B$4)</f>
        <v/>
      </c>
      <c r="G36" s="11"/>
      <c r="H36" s="10"/>
    </row>
    <row r="37" customFormat="false" ht="15" hidden="false" customHeight="false" outlineLevel="0" collapsed="false">
      <c r="A37" s="9"/>
      <c r="B37" s="10"/>
      <c r="C37" s="11"/>
      <c r="D37" s="12" t="str">
        <f aca="false">IF(N(C37)=0,"",C37*$B$3)</f>
        <v/>
      </c>
      <c r="E37" s="10"/>
      <c r="F37" s="12" t="str">
        <f aca="false">IF(N(E37)=0,"",E37*$B$4)</f>
        <v/>
      </c>
      <c r="G37" s="11"/>
      <c r="H37" s="10"/>
    </row>
    <row r="38" customFormat="false" ht="15" hidden="false" customHeight="false" outlineLevel="0" collapsed="false">
      <c r="A38" s="9"/>
      <c r="B38" s="10"/>
      <c r="C38" s="11"/>
      <c r="D38" s="12" t="str">
        <f aca="false">IF(N(C38)=0,"",C38*$B$3)</f>
        <v/>
      </c>
      <c r="E38" s="10"/>
      <c r="F38" s="12" t="str">
        <f aca="false">IF(N(E38)=0,"",E38*$B$4)</f>
        <v/>
      </c>
      <c r="G38" s="11"/>
      <c r="H38" s="10"/>
    </row>
    <row r="39" customFormat="false" ht="15" hidden="false" customHeight="false" outlineLevel="0" collapsed="false">
      <c r="A39" s="9"/>
      <c r="B39" s="10"/>
      <c r="C39" s="11"/>
      <c r="D39" s="12" t="str">
        <f aca="false">IF(N(C39)=0,"",C39*$B$3)</f>
        <v/>
      </c>
      <c r="E39" s="10"/>
      <c r="F39" s="12" t="str">
        <f aca="false">IF(N(E39)=0,"",E39*$B$4)</f>
        <v/>
      </c>
      <c r="G39" s="11"/>
      <c r="H39" s="10"/>
    </row>
    <row r="40" customFormat="false" ht="15" hidden="false" customHeight="false" outlineLevel="0" collapsed="false">
      <c r="A40" s="9"/>
      <c r="B40" s="10"/>
      <c r="C40" s="11"/>
      <c r="D40" s="12" t="str">
        <f aca="false">IF(N(C40)=0,"",C40*$B$3)</f>
        <v/>
      </c>
      <c r="E40" s="10"/>
      <c r="F40" s="12" t="str">
        <f aca="false">IF(N(E40)=0,"",E40*$B$4)</f>
        <v/>
      </c>
      <c r="G40" s="11"/>
      <c r="H40" s="10"/>
    </row>
    <row r="41" customFormat="false" ht="15" hidden="false" customHeight="false" outlineLevel="0" collapsed="false">
      <c r="A41" s="9"/>
      <c r="B41" s="10"/>
      <c r="C41" s="11"/>
      <c r="D41" s="12" t="str">
        <f aca="false">IF(N(C41)=0,"",C41*$B$3)</f>
        <v/>
      </c>
      <c r="E41" s="10"/>
      <c r="F41" s="12" t="str">
        <f aca="false">IF(N(E41)=0,"",E41*$B$4)</f>
        <v/>
      </c>
      <c r="G41" s="11"/>
      <c r="H41" s="10"/>
    </row>
    <row r="42" customFormat="false" ht="15" hidden="false" customHeight="false" outlineLevel="0" collapsed="false">
      <c r="A42" s="9"/>
      <c r="B42" s="10"/>
      <c r="C42" s="11"/>
      <c r="D42" s="12" t="str">
        <f aca="false">IF(N(C42)=0,"",C42*$B$3)</f>
        <v/>
      </c>
      <c r="E42" s="10"/>
      <c r="F42" s="12" t="str">
        <f aca="false">IF(N(E42)=0,"",E42*$B$4)</f>
        <v/>
      </c>
      <c r="G42" s="11"/>
      <c r="H42" s="10"/>
    </row>
    <row r="43" customFormat="false" ht="15" hidden="false" customHeight="false" outlineLevel="0" collapsed="false">
      <c r="A43" s="9"/>
      <c r="B43" s="10"/>
      <c r="C43" s="11"/>
      <c r="D43" s="12" t="str">
        <f aca="false">IF(N(C43)=0,"",C43*$B$3)</f>
        <v/>
      </c>
      <c r="E43" s="10"/>
      <c r="F43" s="12" t="str">
        <f aca="false">IF(N(E43)=0,"",E43*$B$4)</f>
        <v/>
      </c>
      <c r="G43" s="11"/>
      <c r="H43" s="10"/>
    </row>
    <row r="44" customFormat="false" ht="15" hidden="false" customHeight="false" outlineLevel="0" collapsed="false">
      <c r="A44" s="9"/>
      <c r="B44" s="10"/>
      <c r="C44" s="11"/>
      <c r="D44" s="12" t="str">
        <f aca="false">IF(N(C44)=0,"",C44*$B$3)</f>
        <v/>
      </c>
      <c r="E44" s="10"/>
      <c r="F44" s="12" t="str">
        <f aca="false">IF(N(E44)=0,"",E44*$B$4)</f>
        <v/>
      </c>
      <c r="G44" s="11"/>
      <c r="H44" s="10"/>
    </row>
    <row r="45" customFormat="false" ht="15" hidden="false" customHeight="false" outlineLevel="0" collapsed="false">
      <c r="A45" s="9"/>
      <c r="B45" s="10"/>
      <c r="C45" s="11"/>
      <c r="D45" s="12" t="str">
        <f aca="false">IF(N(C45)=0,"",C45*$B$3)</f>
        <v/>
      </c>
      <c r="E45" s="10"/>
      <c r="F45" s="12" t="str">
        <f aca="false">IF(N(E45)=0,"",E45*$B$4)</f>
        <v/>
      </c>
      <c r="G45" s="11"/>
      <c r="H45" s="10"/>
    </row>
    <row r="46" customFormat="false" ht="15" hidden="false" customHeight="false" outlineLevel="0" collapsed="false">
      <c r="A46" s="9"/>
      <c r="B46" s="10"/>
      <c r="C46" s="11"/>
      <c r="D46" s="12" t="str">
        <f aca="false">IF(N(C46)=0,"",C46*$B$3)</f>
        <v/>
      </c>
      <c r="E46" s="10"/>
      <c r="F46" s="12" t="str">
        <f aca="false">IF(N(E46)=0,"",E46*$B$4)</f>
        <v/>
      </c>
      <c r="G46" s="11"/>
      <c r="H46" s="10"/>
    </row>
    <row r="47" customFormat="false" ht="15" hidden="false" customHeight="false" outlineLevel="0" collapsed="false">
      <c r="A47" s="9"/>
      <c r="B47" s="10"/>
      <c r="C47" s="11"/>
      <c r="D47" s="12" t="str">
        <f aca="false">IF(N(C47)=0,"",C47*$B$3)</f>
        <v/>
      </c>
      <c r="E47" s="10"/>
      <c r="F47" s="12" t="str">
        <f aca="false">IF(N(E47)=0,"",E47*$B$4)</f>
        <v/>
      </c>
      <c r="G47" s="11"/>
      <c r="H47" s="10"/>
    </row>
    <row r="48" customFormat="false" ht="15" hidden="false" customHeight="false" outlineLevel="0" collapsed="false">
      <c r="A48" s="9"/>
      <c r="B48" s="10"/>
      <c r="C48" s="11"/>
      <c r="D48" s="12" t="str">
        <f aca="false">IF(N(C48)=0,"",C48*$B$3)</f>
        <v/>
      </c>
      <c r="E48" s="10"/>
      <c r="F48" s="12" t="str">
        <f aca="false">IF(N(E48)=0,"",E48*$B$4)</f>
        <v/>
      </c>
      <c r="G48" s="11"/>
      <c r="H48" s="10"/>
    </row>
    <row r="49" customFormat="false" ht="15" hidden="false" customHeight="false" outlineLevel="0" collapsed="false">
      <c r="A49" s="9"/>
      <c r="B49" s="10"/>
      <c r="C49" s="11"/>
      <c r="D49" s="12" t="str">
        <f aca="false">IF(N(C49)=0,"",C49*$B$3)</f>
        <v/>
      </c>
      <c r="E49" s="10"/>
      <c r="F49" s="12" t="str">
        <f aca="false">IF(N(E49)=0,"",E49*$B$4)</f>
        <v/>
      </c>
      <c r="G49" s="11"/>
      <c r="H49" s="10"/>
    </row>
    <row r="50" customFormat="false" ht="15" hidden="false" customHeight="false" outlineLevel="0" collapsed="false">
      <c r="A50" s="9"/>
      <c r="B50" s="10"/>
      <c r="C50" s="11"/>
      <c r="D50" s="12" t="str">
        <f aca="false">IF(N(C50)=0,"",C50*$B$3)</f>
        <v/>
      </c>
      <c r="E50" s="10"/>
      <c r="F50" s="12" t="str">
        <f aca="false">IF(N(E50)=0,"",E50*$B$4)</f>
        <v/>
      </c>
      <c r="G50" s="11"/>
      <c r="H50" s="10"/>
    </row>
    <row r="51" customFormat="false" ht="15" hidden="false" customHeight="false" outlineLevel="0" collapsed="false">
      <c r="A51" s="9"/>
      <c r="B51" s="10"/>
      <c r="C51" s="11"/>
      <c r="D51" s="12" t="str">
        <f aca="false">IF(N(C51)=0,"",C51*$B$3)</f>
        <v/>
      </c>
      <c r="E51" s="10"/>
      <c r="F51" s="12" t="str">
        <f aca="false">IF(N(E51)=0,"",E51*$B$4)</f>
        <v/>
      </c>
      <c r="G51" s="11"/>
      <c r="H51" s="10"/>
    </row>
    <row r="52" customFormat="false" ht="15" hidden="false" customHeight="false" outlineLevel="0" collapsed="false">
      <c r="A52" s="9"/>
      <c r="B52" s="10"/>
      <c r="C52" s="11"/>
      <c r="D52" s="12" t="str">
        <f aca="false">IF(N(C52)=0,"",C52*$B$3)</f>
        <v/>
      </c>
      <c r="E52" s="10"/>
      <c r="F52" s="12" t="str">
        <f aca="false">IF(N(E52)=0,"",E52*$B$4)</f>
        <v/>
      </c>
      <c r="G52" s="11"/>
      <c r="H52" s="10"/>
    </row>
    <row r="53" customFormat="false" ht="15" hidden="false" customHeight="false" outlineLevel="0" collapsed="false">
      <c r="A53" s="9"/>
      <c r="B53" s="10"/>
      <c r="C53" s="11"/>
      <c r="D53" s="12" t="str">
        <f aca="false">IF(N(C53)=0,"",C53*$B$3)</f>
        <v/>
      </c>
      <c r="E53" s="10"/>
      <c r="F53" s="12" t="str">
        <f aca="false">IF(N(E53)=0,"",E53*$B$4)</f>
        <v/>
      </c>
      <c r="G53" s="11"/>
      <c r="H53" s="10"/>
    </row>
    <row r="54" customFormat="false" ht="15" hidden="false" customHeight="false" outlineLevel="0" collapsed="false">
      <c r="A54" s="9"/>
      <c r="B54" s="10"/>
      <c r="C54" s="11"/>
      <c r="D54" s="12" t="str">
        <f aca="false">IF(N(C54)=0,"",C54*$B$3)</f>
        <v/>
      </c>
      <c r="E54" s="10"/>
      <c r="F54" s="12" t="str">
        <f aca="false">IF(N(E54)=0,"",E54*$B$4)</f>
        <v/>
      </c>
      <c r="G54" s="11"/>
      <c r="H54" s="10"/>
    </row>
    <row r="55" customFormat="false" ht="15" hidden="false" customHeight="false" outlineLevel="0" collapsed="false">
      <c r="A55" s="9"/>
      <c r="B55" s="10"/>
      <c r="C55" s="11"/>
      <c r="D55" s="12" t="str">
        <f aca="false">IF(N(C55)=0,"",C55*$B$3)</f>
        <v/>
      </c>
      <c r="E55" s="10"/>
      <c r="F55" s="12" t="str">
        <f aca="false">IF(N(E55)=0,"",E55*$B$4)</f>
        <v/>
      </c>
      <c r="G55" s="11"/>
      <c r="H55" s="10"/>
    </row>
    <row r="56" customFormat="false" ht="15" hidden="false" customHeight="false" outlineLevel="0" collapsed="false">
      <c r="A56" s="9"/>
      <c r="B56" s="10"/>
      <c r="C56" s="11"/>
      <c r="D56" s="12" t="str">
        <f aca="false">IF(N(C56)=0,"",C56*$B$3)</f>
        <v/>
      </c>
      <c r="E56" s="10"/>
      <c r="F56" s="12" t="str">
        <f aca="false">IF(N(E56)=0,"",E56*$B$4)</f>
        <v/>
      </c>
      <c r="G56" s="11"/>
      <c r="H56" s="10"/>
    </row>
    <row r="57" customFormat="false" ht="15" hidden="false" customHeight="false" outlineLevel="0" collapsed="false">
      <c r="A57" s="9"/>
      <c r="B57" s="10"/>
      <c r="C57" s="11"/>
      <c r="D57" s="12" t="str">
        <f aca="false">IF(N(C57)=0,"",C57*$B$3)</f>
        <v/>
      </c>
      <c r="E57" s="10"/>
      <c r="F57" s="12" t="str">
        <f aca="false">IF(N(E57)=0,"",E57*$B$4)</f>
        <v/>
      </c>
      <c r="G57" s="11"/>
      <c r="H57" s="10"/>
    </row>
    <row r="58" customFormat="false" ht="15" hidden="false" customHeight="false" outlineLevel="0" collapsed="false">
      <c r="A58" s="9"/>
      <c r="B58" s="10"/>
      <c r="C58" s="11"/>
      <c r="D58" s="12" t="str">
        <f aca="false">IF(N(C58)=0,"",C58*$B$3)</f>
        <v/>
      </c>
      <c r="E58" s="10"/>
      <c r="F58" s="12" t="str">
        <f aca="false">IF(N(E58)=0,"",E58*$B$4)</f>
        <v/>
      </c>
      <c r="G58" s="11"/>
      <c r="H58" s="10"/>
    </row>
    <row r="59" customFormat="false" ht="15" hidden="false" customHeight="false" outlineLevel="0" collapsed="false">
      <c r="A59" s="9"/>
      <c r="B59" s="10"/>
      <c r="C59" s="11"/>
      <c r="D59" s="12" t="str">
        <f aca="false">IF(N(C59)=0,"",C59*$B$3)</f>
        <v/>
      </c>
      <c r="E59" s="10"/>
      <c r="F59" s="12" t="str">
        <f aca="false">IF(N(E59)=0,"",E59*$B$4)</f>
        <v/>
      </c>
      <c r="G59" s="11"/>
      <c r="H59" s="10"/>
    </row>
    <row r="60" customFormat="false" ht="15" hidden="false" customHeight="false" outlineLevel="0" collapsed="false">
      <c r="A60" s="9"/>
      <c r="B60" s="10"/>
      <c r="C60" s="11"/>
      <c r="D60" s="12" t="str">
        <f aca="false">IF(N(C60)=0,"",C60*$B$3)</f>
        <v/>
      </c>
      <c r="E60" s="10"/>
      <c r="F60" s="12" t="str">
        <f aca="false">IF(N(E60)=0,"",E60*$B$4)</f>
        <v/>
      </c>
      <c r="G60" s="11"/>
      <c r="H60" s="10"/>
    </row>
    <row r="61" customFormat="false" ht="15" hidden="false" customHeight="false" outlineLevel="0" collapsed="false">
      <c r="A61" s="9"/>
      <c r="B61" s="10"/>
      <c r="C61" s="11"/>
      <c r="D61" s="12" t="str">
        <f aca="false">IF(N(C61)=0,"",C61*$B$3)</f>
        <v/>
      </c>
      <c r="E61" s="10"/>
      <c r="F61" s="12" t="str">
        <f aca="false">IF(N(E61)=0,"",E61*$B$4)</f>
        <v/>
      </c>
      <c r="G61" s="11"/>
      <c r="H61" s="10"/>
    </row>
    <row r="62" customFormat="false" ht="15" hidden="false" customHeight="false" outlineLevel="0" collapsed="false">
      <c r="A62" s="9"/>
      <c r="B62" s="10"/>
      <c r="C62" s="11"/>
      <c r="D62" s="12" t="str">
        <f aca="false">IF(N(C62)=0,"",C62*$B$3)</f>
        <v/>
      </c>
      <c r="E62" s="10"/>
      <c r="F62" s="12" t="str">
        <f aca="false">IF(N(E62)=0,"",E62*$B$4)</f>
        <v/>
      </c>
      <c r="G62" s="11"/>
      <c r="H62" s="10"/>
    </row>
    <row r="63" customFormat="false" ht="15" hidden="false" customHeight="false" outlineLevel="0" collapsed="false">
      <c r="A63" s="9"/>
      <c r="B63" s="10"/>
      <c r="C63" s="11"/>
      <c r="D63" s="12" t="str">
        <f aca="false">IF(N(C63)=0,"",C63*$B$3)</f>
        <v/>
      </c>
      <c r="E63" s="10"/>
      <c r="F63" s="12" t="str">
        <f aca="false">IF(N(E63)=0,"",E63*$B$4)</f>
        <v/>
      </c>
      <c r="G63" s="11"/>
      <c r="H63" s="10"/>
    </row>
    <row r="64" customFormat="false" ht="15" hidden="false" customHeight="false" outlineLevel="0" collapsed="false">
      <c r="A64" s="9"/>
      <c r="B64" s="10"/>
      <c r="C64" s="11"/>
      <c r="D64" s="12" t="str">
        <f aca="false">IF(N(C64)=0,"",C64*$B$3)</f>
        <v/>
      </c>
      <c r="E64" s="10"/>
      <c r="F64" s="12" t="str">
        <f aca="false">IF(N(E64)=0,"",E64*$B$4)</f>
        <v/>
      </c>
      <c r="G64" s="11"/>
      <c r="H64" s="10"/>
    </row>
    <row r="65" customFormat="false" ht="15" hidden="false" customHeight="false" outlineLevel="0" collapsed="false">
      <c r="A65" s="9"/>
      <c r="B65" s="10"/>
      <c r="C65" s="11"/>
      <c r="D65" s="12" t="str">
        <f aca="false">IF(N(C65)=0,"",C65*$B$3)</f>
        <v/>
      </c>
      <c r="E65" s="10"/>
      <c r="F65" s="12" t="str">
        <f aca="false">IF(N(E65)=0,"",E65*$B$4)</f>
        <v/>
      </c>
      <c r="G65" s="11"/>
      <c r="H65" s="10"/>
    </row>
    <row r="66" customFormat="false" ht="15" hidden="false" customHeight="false" outlineLevel="0" collapsed="false">
      <c r="A66" s="9"/>
      <c r="B66" s="10"/>
      <c r="C66" s="11"/>
      <c r="D66" s="12" t="str">
        <f aca="false">IF(N(C66)=0,"",C66*$B$3)</f>
        <v/>
      </c>
      <c r="E66" s="10"/>
      <c r="F66" s="12" t="str">
        <f aca="false">IF(N(E66)=0,"",E66*$B$4)</f>
        <v/>
      </c>
      <c r="G66" s="11"/>
      <c r="H66" s="10"/>
    </row>
    <row r="67" customFormat="false" ht="15" hidden="false" customHeight="false" outlineLevel="0" collapsed="false">
      <c r="A67" s="9"/>
      <c r="B67" s="10"/>
      <c r="C67" s="11"/>
      <c r="D67" s="12" t="str">
        <f aca="false">IF(N(C67)=0,"",C67*$B$3)</f>
        <v/>
      </c>
      <c r="E67" s="10"/>
      <c r="F67" s="12" t="str">
        <f aca="false">IF(N(E67)=0,"",E67*$B$4)</f>
        <v/>
      </c>
      <c r="G67" s="11"/>
      <c r="H67" s="10"/>
    </row>
    <row r="68" customFormat="false" ht="15" hidden="false" customHeight="false" outlineLevel="0" collapsed="false">
      <c r="A68" s="9"/>
      <c r="B68" s="10"/>
      <c r="C68" s="11"/>
      <c r="D68" s="12" t="str">
        <f aca="false">IF(N(C68)=0,"",C68*$B$3)</f>
        <v/>
      </c>
      <c r="E68" s="10"/>
      <c r="F68" s="12" t="str">
        <f aca="false">IF(N(E68)=0,"",E68*$B$4)</f>
        <v/>
      </c>
      <c r="G68" s="11"/>
      <c r="H68" s="10"/>
    </row>
    <row r="69" customFormat="false" ht="15" hidden="false" customHeight="false" outlineLevel="0" collapsed="false">
      <c r="A69" s="9"/>
      <c r="B69" s="10"/>
      <c r="C69" s="11"/>
      <c r="D69" s="12" t="str">
        <f aca="false">IF(N(C69)=0,"",C69*$B$3)</f>
        <v/>
      </c>
      <c r="E69" s="10"/>
      <c r="F69" s="12" t="str">
        <f aca="false">IF(N(E69)=0,"",E69*$B$4)</f>
        <v/>
      </c>
      <c r="G69" s="11"/>
      <c r="H69" s="10"/>
    </row>
    <row r="70" customFormat="false" ht="15" hidden="false" customHeight="false" outlineLevel="0" collapsed="false">
      <c r="A70" s="9"/>
      <c r="B70" s="10"/>
      <c r="C70" s="11"/>
      <c r="D70" s="12" t="str">
        <f aca="false">IF(N(C70)=0,"",C70*$B$3)</f>
        <v/>
      </c>
      <c r="E70" s="10"/>
      <c r="F70" s="12" t="str">
        <f aca="false">IF(N(E70)=0,"",E70*$B$4)</f>
        <v/>
      </c>
      <c r="G70" s="11"/>
      <c r="H70" s="10"/>
    </row>
    <row r="71" customFormat="false" ht="15" hidden="false" customHeight="false" outlineLevel="0" collapsed="false">
      <c r="A71" s="9"/>
      <c r="B71" s="10"/>
      <c r="C71" s="11"/>
      <c r="D71" s="12" t="str">
        <f aca="false">IF(N(C71)=0,"",C71*$B$3)</f>
        <v/>
      </c>
      <c r="E71" s="10"/>
      <c r="F71" s="12" t="str">
        <f aca="false">IF(N(E71)=0,"",E71*$B$4)</f>
        <v/>
      </c>
      <c r="G71" s="11"/>
      <c r="H71" s="10"/>
    </row>
    <row r="72" customFormat="false" ht="15" hidden="false" customHeight="false" outlineLevel="0" collapsed="false">
      <c r="A72" s="9"/>
      <c r="B72" s="10"/>
      <c r="C72" s="11"/>
      <c r="D72" s="12" t="str">
        <f aca="false">IF(N(C72)=0,"",C72*$B$3)</f>
        <v/>
      </c>
      <c r="E72" s="10"/>
      <c r="F72" s="12" t="str">
        <f aca="false">IF(N(E72)=0,"",E72*$B$4)</f>
        <v/>
      </c>
      <c r="G72" s="11"/>
      <c r="H72" s="10"/>
    </row>
    <row r="73" customFormat="false" ht="15" hidden="false" customHeight="false" outlineLevel="0" collapsed="false">
      <c r="A73" s="9"/>
      <c r="B73" s="10"/>
      <c r="C73" s="11"/>
      <c r="D73" s="12" t="str">
        <f aca="false">IF(N(C73)=0,"",C73*$B$3)</f>
        <v/>
      </c>
      <c r="E73" s="10"/>
      <c r="F73" s="12" t="str">
        <f aca="false">IF(N(E73)=0,"",E73*$B$4)</f>
        <v/>
      </c>
      <c r="G73" s="11"/>
      <c r="H73" s="10"/>
    </row>
    <row r="74" customFormat="false" ht="15" hidden="false" customHeight="false" outlineLevel="0" collapsed="false">
      <c r="A74" s="9"/>
      <c r="B74" s="10"/>
      <c r="C74" s="11"/>
      <c r="D74" s="12" t="str">
        <f aca="false">IF(N(C74)=0,"",C74*$B$3)</f>
        <v/>
      </c>
      <c r="E74" s="10"/>
      <c r="F74" s="12" t="str">
        <f aca="false">IF(N(E74)=0,"",E74*$B$4)</f>
        <v/>
      </c>
      <c r="G74" s="11"/>
      <c r="H74" s="10"/>
    </row>
    <row r="75" customFormat="false" ht="15" hidden="false" customHeight="false" outlineLevel="0" collapsed="false">
      <c r="A75" s="9"/>
      <c r="B75" s="10"/>
      <c r="C75" s="11"/>
      <c r="D75" s="12" t="str">
        <f aca="false">IF(N(C75)=0,"",C75*$B$3)</f>
        <v/>
      </c>
      <c r="E75" s="10"/>
      <c r="F75" s="12" t="str">
        <f aca="false">IF(N(E75)=0,"",E75*$B$4)</f>
        <v/>
      </c>
      <c r="G75" s="11"/>
      <c r="H75" s="10"/>
    </row>
    <row r="76" customFormat="false" ht="15" hidden="false" customHeight="false" outlineLevel="0" collapsed="false">
      <c r="A76" s="9"/>
      <c r="B76" s="10"/>
      <c r="C76" s="11"/>
      <c r="D76" s="12" t="str">
        <f aca="false">IF(N(C76)=0,"",C76*$B$3)</f>
        <v/>
      </c>
      <c r="E76" s="10"/>
      <c r="F76" s="12" t="str">
        <f aca="false">IF(N(E76)=0,"",E76*$B$4)</f>
        <v/>
      </c>
      <c r="G76" s="11"/>
      <c r="H76" s="10"/>
    </row>
    <row r="77" customFormat="false" ht="15" hidden="false" customHeight="false" outlineLevel="0" collapsed="false">
      <c r="A77" s="9"/>
      <c r="B77" s="10"/>
      <c r="C77" s="11"/>
      <c r="D77" s="12" t="str">
        <f aca="false">IF(N(C77)=0,"",C77*$B$3)</f>
        <v/>
      </c>
      <c r="E77" s="10"/>
      <c r="F77" s="12" t="str">
        <f aca="false">IF(N(E77)=0,"",E77*$B$4)</f>
        <v/>
      </c>
      <c r="G77" s="11"/>
      <c r="H77" s="10"/>
    </row>
    <row r="78" customFormat="false" ht="15" hidden="false" customHeight="false" outlineLevel="0" collapsed="false">
      <c r="A78" s="9"/>
      <c r="B78" s="10"/>
      <c r="C78" s="11"/>
      <c r="D78" s="12" t="str">
        <f aca="false">IF(N(C78)=0,"",C78*$B$3)</f>
        <v/>
      </c>
      <c r="E78" s="10"/>
      <c r="F78" s="12" t="str">
        <f aca="false">IF(N(E78)=0,"",E78*$B$4)</f>
        <v/>
      </c>
      <c r="G78" s="11"/>
      <c r="H78" s="10"/>
    </row>
    <row r="79" customFormat="false" ht="15" hidden="false" customHeight="false" outlineLevel="0" collapsed="false">
      <c r="A79" s="9"/>
      <c r="B79" s="10"/>
      <c r="C79" s="11"/>
      <c r="D79" s="12" t="str">
        <f aca="false">IF(N(C79)=0,"",C79*$B$3)</f>
        <v/>
      </c>
      <c r="E79" s="10"/>
      <c r="F79" s="12" t="str">
        <f aca="false">IF(N(E79)=0,"",E79*$B$4)</f>
        <v/>
      </c>
      <c r="G79" s="11"/>
      <c r="H79" s="10"/>
    </row>
    <row r="80" customFormat="false" ht="15" hidden="false" customHeight="false" outlineLevel="0" collapsed="false">
      <c r="A80" s="9"/>
      <c r="B80" s="10"/>
      <c r="C80" s="11"/>
      <c r="D80" s="12" t="str">
        <f aca="false">IF(N(C80)=0,"",C80*$B$3)</f>
        <v/>
      </c>
      <c r="E80" s="10"/>
      <c r="F80" s="12" t="str">
        <f aca="false">IF(N(E80)=0,"",E80*$B$4)</f>
        <v/>
      </c>
      <c r="G80" s="11"/>
      <c r="H80" s="10"/>
    </row>
    <row r="81" customFormat="false" ht="15" hidden="false" customHeight="false" outlineLevel="0" collapsed="false">
      <c r="A81" s="9"/>
      <c r="B81" s="10"/>
      <c r="C81" s="11"/>
      <c r="D81" s="12" t="str">
        <f aca="false">IF(N(C81)=0,"",C81*$B$3)</f>
        <v/>
      </c>
      <c r="E81" s="10"/>
      <c r="F81" s="12" t="str">
        <f aca="false">IF(N(E81)=0,"",E81*$B$4)</f>
        <v/>
      </c>
      <c r="G81" s="11"/>
      <c r="H81" s="10"/>
    </row>
    <row r="82" customFormat="false" ht="15" hidden="false" customHeight="false" outlineLevel="0" collapsed="false">
      <c r="A82" s="9"/>
      <c r="B82" s="10"/>
      <c r="C82" s="11"/>
      <c r="D82" s="12" t="str">
        <f aca="false">IF(N(C82)=0,"",C82*$B$3)</f>
        <v/>
      </c>
      <c r="E82" s="10"/>
      <c r="F82" s="12" t="str">
        <f aca="false">IF(N(E82)=0,"",E82*$B$4)</f>
        <v/>
      </c>
      <c r="G82" s="11"/>
      <c r="H82" s="10"/>
    </row>
    <row r="83" customFormat="false" ht="15" hidden="false" customHeight="false" outlineLevel="0" collapsed="false">
      <c r="A83" s="9"/>
      <c r="B83" s="10"/>
      <c r="C83" s="11"/>
      <c r="D83" s="12" t="str">
        <f aca="false">IF(N(C83)=0,"",C83*$B$3)</f>
        <v/>
      </c>
      <c r="E83" s="10"/>
      <c r="F83" s="12" t="str">
        <f aca="false">IF(N(E83)=0,"",E83*$B$4)</f>
        <v/>
      </c>
      <c r="G83" s="11"/>
      <c r="H83" s="10"/>
    </row>
    <row r="84" customFormat="false" ht="15" hidden="false" customHeight="false" outlineLevel="0" collapsed="false">
      <c r="A84" s="9"/>
      <c r="B84" s="10"/>
      <c r="C84" s="11"/>
      <c r="D84" s="12" t="str">
        <f aca="false">IF(N(C84)=0,"",C84*$B$3)</f>
        <v/>
      </c>
      <c r="E84" s="10"/>
      <c r="F84" s="12" t="str">
        <f aca="false">IF(N(E84)=0,"",E84*$B$4)</f>
        <v/>
      </c>
      <c r="G84" s="11"/>
      <c r="H84" s="10"/>
    </row>
    <row r="85" customFormat="false" ht="15" hidden="false" customHeight="false" outlineLevel="0" collapsed="false">
      <c r="A85" s="9"/>
      <c r="B85" s="10"/>
      <c r="C85" s="11"/>
      <c r="D85" s="12" t="str">
        <f aca="false">IF(N(C85)=0,"",C85*$B$3)</f>
        <v/>
      </c>
      <c r="E85" s="10"/>
      <c r="F85" s="12" t="str">
        <f aca="false">IF(N(E85)=0,"",E85*$B$4)</f>
        <v/>
      </c>
      <c r="G85" s="11"/>
      <c r="H85" s="10"/>
    </row>
    <row r="86" customFormat="false" ht="15" hidden="false" customHeight="false" outlineLevel="0" collapsed="false">
      <c r="A86" s="9"/>
      <c r="B86" s="10"/>
      <c r="C86" s="11"/>
      <c r="D86" s="12" t="str">
        <f aca="false">IF(N(C86)=0,"",C86*$B$3)</f>
        <v/>
      </c>
      <c r="E86" s="10"/>
      <c r="F86" s="12" t="str">
        <f aca="false">IF(N(E86)=0,"",E86*$B$4)</f>
        <v/>
      </c>
      <c r="G86" s="11"/>
      <c r="H86" s="10"/>
    </row>
    <row r="87" customFormat="false" ht="15" hidden="false" customHeight="false" outlineLevel="0" collapsed="false">
      <c r="A87" s="9"/>
      <c r="B87" s="10"/>
      <c r="C87" s="11"/>
      <c r="D87" s="12" t="str">
        <f aca="false">IF(N(C87)=0,"",C87*$B$3)</f>
        <v/>
      </c>
      <c r="E87" s="10"/>
      <c r="F87" s="12" t="str">
        <f aca="false">IF(N(E87)=0,"",E87*$B$4)</f>
        <v/>
      </c>
      <c r="G87" s="11"/>
      <c r="H87" s="10"/>
    </row>
    <row r="88" customFormat="false" ht="15" hidden="false" customHeight="false" outlineLevel="0" collapsed="false">
      <c r="A88" s="9"/>
      <c r="B88" s="10"/>
      <c r="C88" s="11"/>
      <c r="D88" s="12" t="str">
        <f aca="false">IF(N(C88)=0,"",C88*$B$3)</f>
        <v/>
      </c>
      <c r="E88" s="10"/>
      <c r="F88" s="12" t="str">
        <f aca="false">IF(N(E88)=0,"",E88*$B$4)</f>
        <v/>
      </c>
      <c r="G88" s="11"/>
      <c r="H88" s="10"/>
    </row>
    <row r="89" customFormat="false" ht="15" hidden="false" customHeight="false" outlineLevel="0" collapsed="false">
      <c r="A89" s="9"/>
      <c r="B89" s="10"/>
      <c r="C89" s="11"/>
      <c r="D89" s="12" t="str">
        <f aca="false">IF(N(C89)=0,"",C89*$B$3)</f>
        <v/>
      </c>
      <c r="E89" s="10"/>
      <c r="F89" s="12" t="str">
        <f aca="false">IF(N(E89)=0,"",E89*$B$4)</f>
        <v/>
      </c>
      <c r="G89" s="11"/>
      <c r="H89" s="10"/>
    </row>
    <row r="90" customFormat="false" ht="15" hidden="false" customHeight="false" outlineLevel="0" collapsed="false">
      <c r="A90" s="9"/>
      <c r="B90" s="10"/>
      <c r="C90" s="11"/>
      <c r="D90" s="12" t="str">
        <f aca="false">IF(N(C90)=0,"",C90*$B$3)</f>
        <v/>
      </c>
      <c r="E90" s="10"/>
      <c r="F90" s="12" t="str">
        <f aca="false">IF(N(E90)=0,"",E90*$B$4)</f>
        <v/>
      </c>
      <c r="G90" s="11"/>
      <c r="H90" s="10"/>
    </row>
    <row r="91" customFormat="false" ht="15" hidden="false" customHeight="false" outlineLevel="0" collapsed="false">
      <c r="A91" s="9"/>
      <c r="B91" s="10"/>
      <c r="C91" s="11"/>
      <c r="D91" s="12" t="str">
        <f aca="false">IF(N(C91)=0,"",C91*$B$3)</f>
        <v/>
      </c>
      <c r="E91" s="10"/>
      <c r="F91" s="12" t="str">
        <f aca="false">IF(N(E91)=0,"",E91*$B$4)</f>
        <v/>
      </c>
      <c r="G91" s="11"/>
      <c r="H91" s="10"/>
    </row>
    <row r="92" customFormat="false" ht="15" hidden="false" customHeight="false" outlineLevel="0" collapsed="false">
      <c r="A92" s="9"/>
      <c r="B92" s="10"/>
      <c r="C92" s="11"/>
      <c r="D92" s="12" t="str">
        <f aca="false">IF(N(C92)=0,"",C92*$B$3)</f>
        <v/>
      </c>
      <c r="E92" s="10"/>
      <c r="F92" s="12" t="str">
        <f aca="false">IF(N(E92)=0,"",E92*$B$4)</f>
        <v/>
      </c>
      <c r="G92" s="11"/>
      <c r="H92" s="10"/>
    </row>
    <row r="93" customFormat="false" ht="15" hidden="false" customHeight="false" outlineLevel="0" collapsed="false">
      <c r="A93" s="9"/>
      <c r="B93" s="10"/>
      <c r="C93" s="11"/>
      <c r="D93" s="12" t="str">
        <f aca="false">IF(N(C93)=0,"",C93*$B$3)</f>
        <v/>
      </c>
      <c r="E93" s="10"/>
      <c r="F93" s="12" t="str">
        <f aca="false">IF(N(E93)=0,"",E93*$B$4)</f>
        <v/>
      </c>
      <c r="G93" s="11"/>
      <c r="H93" s="10"/>
    </row>
    <row r="94" customFormat="false" ht="15" hidden="false" customHeight="false" outlineLevel="0" collapsed="false">
      <c r="A94" s="9"/>
      <c r="B94" s="10"/>
      <c r="C94" s="11"/>
      <c r="D94" s="12" t="str">
        <f aca="false">IF(N(C94)=0,"",C94*$B$3)</f>
        <v/>
      </c>
      <c r="E94" s="10"/>
      <c r="F94" s="12" t="str">
        <f aca="false">IF(N(E94)=0,"",E94*$B$4)</f>
        <v/>
      </c>
      <c r="G94" s="11"/>
      <c r="H94" s="10"/>
    </row>
    <row r="95" customFormat="false" ht="15" hidden="false" customHeight="false" outlineLevel="0" collapsed="false">
      <c r="A95" s="9"/>
      <c r="B95" s="10"/>
      <c r="C95" s="11"/>
      <c r="D95" s="12" t="str">
        <f aca="false">IF(N(C95)=0,"",C95*$B$3)</f>
        <v/>
      </c>
      <c r="E95" s="10"/>
      <c r="F95" s="12" t="str">
        <f aca="false">IF(N(E95)=0,"",E95*$B$4)</f>
        <v/>
      </c>
      <c r="G95" s="11"/>
      <c r="H95" s="10"/>
    </row>
    <row r="96" customFormat="false" ht="15" hidden="false" customHeight="false" outlineLevel="0" collapsed="false">
      <c r="A96" s="9"/>
      <c r="B96" s="10"/>
      <c r="C96" s="11"/>
      <c r="D96" s="12" t="str">
        <f aca="false">IF(N(C96)=0,"",C96*$B$3)</f>
        <v/>
      </c>
      <c r="E96" s="10"/>
      <c r="F96" s="12" t="str">
        <f aca="false">IF(N(E96)=0,"",E96*$B$4)</f>
        <v/>
      </c>
      <c r="G96" s="11"/>
      <c r="H96" s="10"/>
    </row>
    <row r="97" customFormat="false" ht="15" hidden="false" customHeight="false" outlineLevel="0" collapsed="false">
      <c r="A97" s="9"/>
      <c r="B97" s="10"/>
      <c r="C97" s="11"/>
      <c r="D97" s="12" t="str">
        <f aca="false">IF(N(C97)=0,"",C97*$B$3)</f>
        <v/>
      </c>
      <c r="E97" s="10"/>
      <c r="F97" s="12" t="str">
        <f aca="false">IF(N(E97)=0,"",E97*$B$4)</f>
        <v/>
      </c>
      <c r="G97" s="11"/>
      <c r="H97" s="10"/>
    </row>
    <row r="98" customFormat="false" ht="15" hidden="false" customHeight="false" outlineLevel="0" collapsed="false">
      <c r="A98" s="9"/>
      <c r="B98" s="10"/>
      <c r="C98" s="11"/>
      <c r="D98" s="12" t="str">
        <f aca="false">IF(N(C98)=0,"",C98*$B$3)</f>
        <v/>
      </c>
      <c r="E98" s="10"/>
      <c r="F98" s="12" t="str">
        <f aca="false">IF(N(E98)=0,"",E98*$B$4)</f>
        <v/>
      </c>
      <c r="G98" s="11"/>
      <c r="H98" s="10"/>
    </row>
    <row r="99" customFormat="false" ht="15" hidden="false" customHeight="false" outlineLevel="0" collapsed="false">
      <c r="A99" s="9"/>
      <c r="B99" s="10"/>
      <c r="C99" s="11"/>
      <c r="D99" s="12" t="str">
        <f aca="false">IF(N(C99)=0,"",C99*$B$3)</f>
        <v/>
      </c>
      <c r="E99" s="10"/>
      <c r="F99" s="12" t="str">
        <f aca="false">IF(N(E99)=0,"",E99*$B$4)</f>
        <v/>
      </c>
      <c r="G99" s="11"/>
      <c r="H99" s="10"/>
    </row>
    <row r="100" customFormat="false" ht="15" hidden="false" customHeight="false" outlineLevel="0" collapsed="false">
      <c r="A100" s="9"/>
      <c r="B100" s="10"/>
      <c r="C100" s="11"/>
      <c r="D100" s="12" t="str">
        <f aca="false">IF(N(C100)=0,"",C100*$B$3)</f>
        <v/>
      </c>
      <c r="E100" s="10"/>
      <c r="F100" s="12" t="str">
        <f aca="false">IF(N(E100)=0,"",E100*$B$4)</f>
        <v/>
      </c>
      <c r="G100" s="11"/>
      <c r="H100" s="10"/>
    </row>
    <row r="101" customFormat="false" ht="15" hidden="false" customHeight="false" outlineLevel="0" collapsed="false">
      <c r="A101" s="9"/>
      <c r="B101" s="10"/>
      <c r="C101" s="11"/>
      <c r="D101" s="12" t="str">
        <f aca="false">IF(N(C101)=0,"",C101*$B$3)</f>
        <v/>
      </c>
      <c r="E101" s="10"/>
      <c r="F101" s="12" t="str">
        <f aca="false">IF(N(E101)=0,"",E101*$B$4)</f>
        <v/>
      </c>
      <c r="G101" s="11"/>
      <c r="H101" s="10"/>
    </row>
    <row r="102" customFormat="false" ht="15" hidden="false" customHeight="false" outlineLevel="0" collapsed="false">
      <c r="A102" s="9"/>
      <c r="B102" s="10"/>
      <c r="C102" s="11"/>
      <c r="D102" s="12" t="str">
        <f aca="false">IF(N(C102)=0,"",C102*$B$3)</f>
        <v/>
      </c>
      <c r="E102" s="10"/>
      <c r="F102" s="12" t="str">
        <f aca="false">IF(N(E102)=0,"",E102*$B$4)</f>
        <v/>
      </c>
      <c r="G102" s="11"/>
      <c r="H102" s="10"/>
    </row>
    <row r="103" customFormat="false" ht="15" hidden="false" customHeight="false" outlineLevel="0" collapsed="false">
      <c r="A103" s="9"/>
      <c r="B103" s="10"/>
      <c r="C103" s="11"/>
      <c r="D103" s="12" t="str">
        <f aca="false">IF(N(C103)=0,"",C103*$B$3)</f>
        <v/>
      </c>
      <c r="E103" s="10"/>
      <c r="F103" s="12" t="str">
        <f aca="false">IF(N(E103)=0,"",E103*$B$4)</f>
        <v/>
      </c>
      <c r="G103" s="11"/>
      <c r="H103" s="10"/>
    </row>
    <row r="104" customFormat="false" ht="15" hidden="false" customHeight="false" outlineLevel="0" collapsed="false">
      <c r="A104" s="9"/>
      <c r="B104" s="10"/>
      <c r="C104" s="11"/>
      <c r="D104" s="12" t="str">
        <f aca="false">IF(N(C104)=0,"",C104*$B$3)</f>
        <v/>
      </c>
      <c r="E104" s="10"/>
      <c r="F104" s="12" t="str">
        <f aca="false">IF(N(E104)=0,"",E104*$B$4)</f>
        <v/>
      </c>
      <c r="G104" s="11"/>
      <c r="H104" s="10"/>
    </row>
    <row r="105" customFormat="false" ht="15" hidden="false" customHeight="false" outlineLevel="0" collapsed="false">
      <c r="A105" s="9"/>
      <c r="B105" s="10"/>
      <c r="C105" s="11"/>
      <c r="D105" s="12" t="str">
        <f aca="false">IF(N(C105)=0,"",C105*$B$3)</f>
        <v/>
      </c>
      <c r="E105" s="10"/>
      <c r="F105" s="12" t="str">
        <f aca="false">IF(N(E105)=0,"",E105*$B$4)</f>
        <v/>
      </c>
      <c r="G105" s="11"/>
      <c r="H105" s="10"/>
    </row>
    <row r="106" customFormat="false" ht="15" hidden="false" customHeight="false" outlineLevel="0" collapsed="false">
      <c r="A106" s="9"/>
      <c r="B106" s="10"/>
      <c r="C106" s="11"/>
      <c r="D106" s="12" t="str">
        <f aca="false">IF(N(C106)=0,"",C106*$B$3)</f>
        <v/>
      </c>
      <c r="E106" s="10"/>
      <c r="F106" s="12" t="str">
        <f aca="false">IF(N(E106)=0,"",E106*$B$4)</f>
        <v/>
      </c>
      <c r="G106" s="11"/>
      <c r="H106" s="10"/>
    </row>
    <row r="107" customFormat="false" ht="15" hidden="false" customHeight="false" outlineLevel="0" collapsed="false">
      <c r="A107" s="9"/>
      <c r="B107" s="10"/>
      <c r="C107" s="11"/>
      <c r="D107" s="12" t="str">
        <f aca="false">IF(N(C107)=0,"",C107*$B$3)</f>
        <v/>
      </c>
      <c r="E107" s="10"/>
      <c r="F107" s="12" t="str">
        <f aca="false">IF(N(E107)=0,"",E107*$B$4)</f>
        <v/>
      </c>
      <c r="G107" s="11"/>
      <c r="H107" s="10"/>
    </row>
    <row r="108" customFormat="false" ht="15" hidden="false" customHeight="false" outlineLevel="0" collapsed="false">
      <c r="A108" s="9"/>
      <c r="B108" s="10"/>
      <c r="C108" s="11"/>
      <c r="D108" s="12" t="str">
        <f aca="false">IF(N(C108)=0,"",C108*$B$3)</f>
        <v/>
      </c>
      <c r="E108" s="10"/>
      <c r="F108" s="12" t="str">
        <f aca="false">IF(N(E108)=0,"",E108*$B$4)</f>
        <v/>
      </c>
      <c r="G108" s="11"/>
      <c r="H108" s="10"/>
    </row>
    <row r="109" customFormat="false" ht="15" hidden="false" customHeight="false" outlineLevel="0" collapsed="false">
      <c r="A109" s="9"/>
      <c r="B109" s="10"/>
      <c r="C109" s="11"/>
      <c r="D109" s="12" t="str">
        <f aca="false">IF(N(C109)=0,"",C109*$B$3)</f>
        <v/>
      </c>
      <c r="E109" s="10"/>
      <c r="F109" s="12" t="str">
        <f aca="false">IF(N(E109)=0,"",E109*$B$4)</f>
        <v/>
      </c>
      <c r="G109" s="11"/>
      <c r="H109" s="10"/>
    </row>
    <row r="110" customFormat="false" ht="15" hidden="false" customHeight="false" outlineLevel="0" collapsed="false">
      <c r="A110" s="9"/>
      <c r="B110" s="10"/>
      <c r="C110" s="11"/>
      <c r="D110" s="12" t="str">
        <f aca="false">IF(N(C110)=0,"",C110*$B$3)</f>
        <v/>
      </c>
      <c r="E110" s="10"/>
      <c r="F110" s="12" t="str">
        <f aca="false">IF(N(E110)=0,"",E110*$B$4)</f>
        <v/>
      </c>
      <c r="G110" s="11"/>
      <c r="H110" s="10"/>
    </row>
    <row r="111" customFormat="false" ht="15" hidden="false" customHeight="false" outlineLevel="0" collapsed="false">
      <c r="A111" s="9"/>
      <c r="B111" s="10"/>
      <c r="C111" s="11"/>
      <c r="D111" s="12" t="str">
        <f aca="false">IF(N(C111)=0,"",C111*$B$3)</f>
        <v/>
      </c>
      <c r="E111" s="10"/>
      <c r="F111" s="12" t="str">
        <f aca="false">IF(N(E111)=0,"",E111*$B$4)</f>
        <v/>
      </c>
      <c r="G111" s="11"/>
      <c r="H111" s="10"/>
    </row>
    <row r="112" customFormat="false" ht="15" hidden="false" customHeight="false" outlineLevel="0" collapsed="false">
      <c r="A112" s="9"/>
      <c r="B112" s="10"/>
      <c r="C112" s="11"/>
      <c r="D112" s="12" t="str">
        <f aca="false">IF(N(C112)=0,"",C112*$B$3)</f>
        <v/>
      </c>
      <c r="E112" s="10"/>
      <c r="F112" s="12" t="str">
        <f aca="false">IF(N(E112)=0,"",E112*$B$4)</f>
        <v/>
      </c>
      <c r="G112" s="11"/>
      <c r="H112" s="10"/>
    </row>
    <row r="113" customFormat="false" ht="15" hidden="false" customHeight="false" outlineLevel="0" collapsed="false">
      <c r="A113" s="9"/>
      <c r="B113" s="10"/>
      <c r="C113" s="11"/>
      <c r="D113" s="12" t="str">
        <f aca="false">IF(N(C113)=0,"",C113*$B$3)</f>
        <v/>
      </c>
      <c r="E113" s="10"/>
      <c r="F113" s="12" t="str">
        <f aca="false">IF(N(E113)=0,"",E113*$B$4)</f>
        <v/>
      </c>
      <c r="G113" s="11"/>
      <c r="H113" s="10"/>
    </row>
    <row r="114" customFormat="false" ht="15" hidden="false" customHeight="false" outlineLevel="0" collapsed="false">
      <c r="A114" s="9"/>
      <c r="B114" s="10"/>
      <c r="C114" s="11"/>
      <c r="D114" s="12" t="str">
        <f aca="false">IF(N(C114)=0,"",C114*$B$3)</f>
        <v/>
      </c>
      <c r="E114" s="10"/>
      <c r="F114" s="12" t="str">
        <f aca="false">IF(N(E114)=0,"",E114*$B$4)</f>
        <v/>
      </c>
      <c r="G114" s="11"/>
      <c r="H114" s="10"/>
    </row>
    <row r="115" customFormat="false" ht="15" hidden="false" customHeight="false" outlineLevel="0" collapsed="false">
      <c r="A115" s="9"/>
      <c r="B115" s="10"/>
      <c r="C115" s="11"/>
      <c r="D115" s="12" t="str">
        <f aca="false">IF(N(C115)=0,"",C115*$B$3)</f>
        <v/>
      </c>
      <c r="E115" s="10"/>
      <c r="F115" s="12" t="str">
        <f aca="false">IF(N(E115)=0,"",E115*$B$4)</f>
        <v/>
      </c>
      <c r="G115" s="11"/>
      <c r="H115" s="10"/>
    </row>
    <row r="116" customFormat="false" ht="15" hidden="false" customHeight="false" outlineLevel="0" collapsed="false">
      <c r="A116" s="9"/>
      <c r="B116" s="10"/>
      <c r="C116" s="11"/>
      <c r="D116" s="12" t="str">
        <f aca="false">IF(N(C116)=0,"",C116*$B$3)</f>
        <v/>
      </c>
      <c r="E116" s="10"/>
      <c r="F116" s="12" t="str">
        <f aca="false">IF(N(E116)=0,"",E116*$B$4)</f>
        <v/>
      </c>
      <c r="G116" s="11"/>
      <c r="H116" s="10"/>
    </row>
    <row r="117" customFormat="false" ht="15" hidden="false" customHeight="false" outlineLevel="0" collapsed="false">
      <c r="A117" s="9"/>
      <c r="B117" s="10"/>
      <c r="C117" s="11"/>
      <c r="D117" s="12" t="str">
        <f aca="false">IF(N(C117)=0,"",C117*$B$3)</f>
        <v/>
      </c>
      <c r="E117" s="10"/>
      <c r="F117" s="12" t="str">
        <f aca="false">IF(N(E117)=0,"",E117*$B$4)</f>
        <v/>
      </c>
      <c r="G117" s="11"/>
      <c r="H117" s="10"/>
    </row>
    <row r="118" customFormat="false" ht="15" hidden="false" customHeight="false" outlineLevel="0" collapsed="false">
      <c r="A118" s="9"/>
      <c r="B118" s="10"/>
      <c r="C118" s="11"/>
      <c r="D118" s="12" t="str">
        <f aca="false">IF(N(C118)=0,"",C118*$B$3)</f>
        <v/>
      </c>
      <c r="E118" s="10"/>
      <c r="F118" s="12" t="str">
        <f aca="false">IF(N(E118)=0,"",E118*$B$4)</f>
        <v/>
      </c>
      <c r="G118" s="11"/>
      <c r="H118" s="10"/>
    </row>
    <row r="119" customFormat="false" ht="15" hidden="false" customHeight="false" outlineLevel="0" collapsed="false">
      <c r="A119" s="9"/>
      <c r="B119" s="10"/>
      <c r="C119" s="11"/>
      <c r="D119" s="12" t="str">
        <f aca="false">IF(N(C119)=0,"",C119*$B$3)</f>
        <v/>
      </c>
      <c r="E119" s="10"/>
      <c r="F119" s="12" t="str">
        <f aca="false">IF(N(E119)=0,"",E119*$B$4)</f>
        <v/>
      </c>
      <c r="G119" s="11"/>
      <c r="H119" s="10"/>
    </row>
    <row r="120" customFormat="false" ht="15" hidden="false" customHeight="false" outlineLevel="0" collapsed="false">
      <c r="A120" s="9"/>
      <c r="B120" s="10"/>
      <c r="C120" s="11"/>
      <c r="D120" s="12" t="str">
        <f aca="false">IF(N(C120)=0,"",C120*$B$3)</f>
        <v/>
      </c>
      <c r="E120" s="10"/>
      <c r="F120" s="12" t="str">
        <f aca="false">IF(N(E120)=0,"",E120*$B$4)</f>
        <v/>
      </c>
      <c r="G120" s="11"/>
      <c r="H120" s="10"/>
    </row>
    <row r="121" customFormat="false" ht="15" hidden="false" customHeight="false" outlineLevel="0" collapsed="false">
      <c r="A121" s="9"/>
      <c r="B121" s="10"/>
      <c r="C121" s="11"/>
      <c r="D121" s="12" t="str">
        <f aca="false">IF(N(C121)=0,"",C121*$B$3)</f>
        <v/>
      </c>
      <c r="E121" s="10"/>
      <c r="F121" s="12" t="str">
        <f aca="false">IF(N(E121)=0,"",E121*$B$4)</f>
        <v/>
      </c>
      <c r="G121" s="11"/>
      <c r="H121" s="10"/>
    </row>
    <row r="122" customFormat="false" ht="15" hidden="false" customHeight="false" outlineLevel="0" collapsed="false">
      <c r="A122" s="9"/>
      <c r="B122" s="10"/>
      <c r="C122" s="11"/>
      <c r="D122" s="12" t="str">
        <f aca="false">IF(N(C122)=0,"",C122*$B$3)</f>
        <v/>
      </c>
      <c r="E122" s="10"/>
      <c r="F122" s="12" t="str">
        <f aca="false">IF(N(E122)=0,"",E122*$B$4)</f>
        <v/>
      </c>
      <c r="G122" s="11"/>
      <c r="H122" s="10"/>
    </row>
    <row r="123" customFormat="false" ht="15" hidden="false" customHeight="false" outlineLevel="0" collapsed="false">
      <c r="A123" s="9"/>
      <c r="B123" s="10"/>
      <c r="C123" s="11"/>
      <c r="D123" s="12" t="str">
        <f aca="false">IF(N(C123)=0,"",C123*$B$3)</f>
        <v/>
      </c>
      <c r="E123" s="10"/>
      <c r="F123" s="12" t="str">
        <f aca="false">IF(N(E123)=0,"",E123*$B$4)</f>
        <v/>
      </c>
      <c r="G123" s="11"/>
      <c r="H123" s="10"/>
    </row>
    <row r="124" customFormat="false" ht="15" hidden="false" customHeight="false" outlineLevel="0" collapsed="false">
      <c r="A124" s="9"/>
      <c r="B124" s="10"/>
      <c r="C124" s="11"/>
      <c r="D124" s="12" t="str">
        <f aca="false">IF(N(C124)=0,"",C124*$B$3)</f>
        <v/>
      </c>
      <c r="E124" s="10"/>
      <c r="F124" s="12" t="str">
        <f aca="false">IF(N(E124)=0,"",E124*$B$4)</f>
        <v/>
      </c>
      <c r="G124" s="11"/>
      <c r="H124" s="10"/>
    </row>
    <row r="125" customFormat="false" ht="15" hidden="false" customHeight="false" outlineLevel="0" collapsed="false">
      <c r="A125" s="9"/>
      <c r="B125" s="10"/>
      <c r="C125" s="11"/>
      <c r="D125" s="12" t="str">
        <f aca="false">IF(N(C125)=0,"",C125*$B$3)</f>
        <v/>
      </c>
      <c r="E125" s="10"/>
      <c r="F125" s="12" t="str">
        <f aca="false">IF(N(E125)=0,"",E125*$B$4)</f>
        <v/>
      </c>
      <c r="G125" s="11"/>
      <c r="H125" s="10"/>
    </row>
    <row r="126" customFormat="false" ht="15" hidden="false" customHeight="false" outlineLevel="0" collapsed="false">
      <c r="A126" s="9"/>
      <c r="B126" s="10"/>
      <c r="C126" s="11"/>
      <c r="D126" s="12" t="str">
        <f aca="false">IF(N(C126)=0,"",C126*$B$3)</f>
        <v/>
      </c>
      <c r="E126" s="10"/>
      <c r="F126" s="12" t="str">
        <f aca="false">IF(N(E126)=0,"",E126*$B$4)</f>
        <v/>
      </c>
      <c r="G126" s="11"/>
      <c r="H126" s="10"/>
    </row>
    <row r="127" customFormat="false" ht="15" hidden="false" customHeight="false" outlineLevel="0" collapsed="false">
      <c r="A127" s="9"/>
      <c r="B127" s="10"/>
      <c r="C127" s="11"/>
      <c r="D127" s="12" t="str">
        <f aca="false">IF(N(C127)=0,"",C127*$B$3)</f>
        <v/>
      </c>
      <c r="E127" s="10"/>
      <c r="F127" s="12" t="str">
        <f aca="false">IF(N(E127)=0,"",E127*$B$4)</f>
        <v/>
      </c>
      <c r="G127" s="11"/>
      <c r="H127" s="10"/>
    </row>
    <row r="128" customFormat="false" ht="15" hidden="false" customHeight="false" outlineLevel="0" collapsed="false">
      <c r="A128" s="9"/>
      <c r="B128" s="10"/>
      <c r="C128" s="11"/>
      <c r="D128" s="12" t="str">
        <f aca="false">IF(N(C128)=0,"",C128*$B$3)</f>
        <v/>
      </c>
      <c r="E128" s="10"/>
      <c r="F128" s="12" t="str">
        <f aca="false">IF(N(E128)=0,"",E128*$B$4)</f>
        <v/>
      </c>
      <c r="G128" s="11"/>
      <c r="H128" s="10"/>
    </row>
    <row r="129" customFormat="false" ht="15" hidden="false" customHeight="false" outlineLevel="0" collapsed="false">
      <c r="A129" s="9"/>
      <c r="B129" s="10"/>
      <c r="C129" s="11"/>
      <c r="D129" s="12" t="str">
        <f aca="false">IF(N(C129)=0,"",C129*$B$3)</f>
        <v/>
      </c>
      <c r="E129" s="10"/>
      <c r="F129" s="12" t="str">
        <f aca="false">IF(N(E129)=0,"",E129*$B$4)</f>
        <v/>
      </c>
      <c r="G129" s="11"/>
      <c r="H129" s="10"/>
    </row>
    <row r="130" customFormat="false" ht="15" hidden="false" customHeight="false" outlineLevel="0" collapsed="false">
      <c r="A130" s="9"/>
      <c r="B130" s="10"/>
      <c r="C130" s="11"/>
      <c r="D130" s="12" t="str">
        <f aca="false">IF(N(C130)=0,"",C130*$B$3)</f>
        <v/>
      </c>
      <c r="E130" s="10"/>
      <c r="F130" s="12" t="str">
        <f aca="false">IF(N(E130)=0,"",E130*$B$4)</f>
        <v/>
      </c>
      <c r="G130" s="11"/>
      <c r="H130" s="10"/>
    </row>
    <row r="131" customFormat="false" ht="15" hidden="false" customHeight="false" outlineLevel="0" collapsed="false">
      <c r="A131" s="9"/>
      <c r="B131" s="10"/>
      <c r="C131" s="11"/>
      <c r="D131" s="12" t="str">
        <f aca="false">IF(N(C131)=0,"",C131*$B$3)</f>
        <v/>
      </c>
      <c r="E131" s="10"/>
      <c r="F131" s="12" t="str">
        <f aca="false">IF(N(E131)=0,"",E131*$B$4)</f>
        <v/>
      </c>
      <c r="G131" s="11"/>
      <c r="H131" s="10"/>
    </row>
    <row r="132" customFormat="false" ht="15" hidden="false" customHeight="false" outlineLevel="0" collapsed="false">
      <c r="A132" s="9"/>
      <c r="B132" s="10"/>
      <c r="C132" s="11"/>
      <c r="D132" s="12" t="str">
        <f aca="false">IF(N(C132)=0,"",C132*$B$3)</f>
        <v/>
      </c>
      <c r="E132" s="10"/>
      <c r="F132" s="12" t="str">
        <f aca="false">IF(N(E132)=0,"",E132*$B$4)</f>
        <v/>
      </c>
      <c r="G132" s="11"/>
      <c r="H132" s="10"/>
    </row>
    <row r="133" customFormat="false" ht="15" hidden="false" customHeight="false" outlineLevel="0" collapsed="false">
      <c r="A133" s="9"/>
      <c r="B133" s="10"/>
      <c r="C133" s="11"/>
      <c r="D133" s="12" t="str">
        <f aca="false">IF(N(C133)=0,"",C133*$B$3)</f>
        <v/>
      </c>
      <c r="E133" s="10"/>
      <c r="F133" s="12" t="str">
        <f aca="false">IF(N(E133)=0,"",E133*$B$4)</f>
        <v/>
      </c>
      <c r="G133" s="11"/>
      <c r="H133" s="10"/>
    </row>
    <row r="134" customFormat="false" ht="15" hidden="false" customHeight="false" outlineLevel="0" collapsed="false">
      <c r="A134" s="9"/>
      <c r="B134" s="10"/>
      <c r="C134" s="11"/>
      <c r="D134" s="12" t="str">
        <f aca="false">IF(N(C134)=0,"",C134*$B$3)</f>
        <v/>
      </c>
      <c r="E134" s="10"/>
      <c r="F134" s="12" t="str">
        <f aca="false">IF(N(E134)=0,"",E134*$B$4)</f>
        <v/>
      </c>
      <c r="G134" s="11"/>
      <c r="H134" s="10"/>
    </row>
    <row r="135" customFormat="false" ht="15" hidden="false" customHeight="false" outlineLevel="0" collapsed="false">
      <c r="A135" s="9"/>
      <c r="B135" s="10"/>
      <c r="C135" s="11"/>
      <c r="D135" s="12" t="str">
        <f aca="false">IF(N(C135)=0,"",C135*$B$3)</f>
        <v/>
      </c>
      <c r="E135" s="10"/>
      <c r="F135" s="12" t="str">
        <f aca="false">IF(N(E135)=0,"",E135*$B$4)</f>
        <v/>
      </c>
      <c r="G135" s="11"/>
      <c r="H135" s="10"/>
    </row>
    <row r="136" customFormat="false" ht="15" hidden="false" customHeight="false" outlineLevel="0" collapsed="false">
      <c r="A136" s="9"/>
      <c r="B136" s="10"/>
      <c r="C136" s="11"/>
      <c r="D136" s="12" t="str">
        <f aca="false">IF(N(C136)=0,"",C136*$B$3)</f>
        <v/>
      </c>
      <c r="E136" s="10"/>
      <c r="F136" s="12" t="str">
        <f aca="false">IF(N(E136)=0,"",E136*$B$4)</f>
        <v/>
      </c>
      <c r="G136" s="11"/>
      <c r="H136" s="10"/>
    </row>
    <row r="137" customFormat="false" ht="15" hidden="false" customHeight="false" outlineLevel="0" collapsed="false">
      <c r="A137" s="9"/>
      <c r="B137" s="10"/>
      <c r="C137" s="11"/>
      <c r="D137" s="12" t="str">
        <f aca="false">IF(N(C137)=0,"",C137*$B$3)</f>
        <v/>
      </c>
      <c r="E137" s="10"/>
      <c r="F137" s="12" t="str">
        <f aca="false">IF(N(E137)=0,"",E137*$B$4)</f>
        <v/>
      </c>
      <c r="G137" s="11"/>
      <c r="H137" s="10"/>
    </row>
    <row r="138" customFormat="false" ht="15" hidden="false" customHeight="false" outlineLevel="0" collapsed="false">
      <c r="A138" s="9"/>
      <c r="B138" s="10"/>
      <c r="C138" s="11"/>
      <c r="D138" s="12" t="str">
        <f aca="false">IF(N(C138)=0,"",C138*$B$3)</f>
        <v/>
      </c>
      <c r="E138" s="10"/>
      <c r="F138" s="12" t="str">
        <f aca="false">IF(N(E138)=0,"",E138*$B$4)</f>
        <v/>
      </c>
      <c r="G138" s="11"/>
      <c r="H138" s="10"/>
    </row>
    <row r="139" customFormat="false" ht="15" hidden="false" customHeight="false" outlineLevel="0" collapsed="false">
      <c r="A139" s="9"/>
      <c r="B139" s="10"/>
      <c r="C139" s="11"/>
      <c r="D139" s="12" t="str">
        <f aca="false">IF(N(C139)=0,"",C139*$B$3)</f>
        <v/>
      </c>
      <c r="E139" s="10"/>
      <c r="F139" s="12" t="str">
        <f aca="false">IF(N(E139)=0,"",E139*$B$4)</f>
        <v/>
      </c>
      <c r="G139" s="11"/>
      <c r="H139" s="10"/>
    </row>
    <row r="140" customFormat="false" ht="15" hidden="false" customHeight="false" outlineLevel="0" collapsed="false">
      <c r="A140" s="9"/>
      <c r="B140" s="10"/>
      <c r="C140" s="11"/>
      <c r="D140" s="12" t="str">
        <f aca="false">IF(N(C140)=0,"",C140*$B$3)</f>
        <v/>
      </c>
      <c r="E140" s="10"/>
      <c r="F140" s="12" t="str">
        <f aca="false">IF(N(E140)=0,"",E140*$B$4)</f>
        <v/>
      </c>
      <c r="G140" s="11"/>
      <c r="H140" s="10"/>
    </row>
    <row r="141" customFormat="false" ht="15" hidden="false" customHeight="false" outlineLevel="0" collapsed="false">
      <c r="A141" s="9"/>
      <c r="B141" s="10"/>
      <c r="C141" s="11"/>
      <c r="D141" s="12" t="str">
        <f aca="false">IF(N(C141)=0,"",C141*$B$3)</f>
        <v/>
      </c>
      <c r="E141" s="10"/>
      <c r="F141" s="12" t="str">
        <f aca="false">IF(N(E141)=0,"",E141*$B$4)</f>
        <v/>
      </c>
      <c r="G141" s="11"/>
      <c r="H141" s="10"/>
    </row>
    <row r="142" customFormat="false" ht="15" hidden="false" customHeight="false" outlineLevel="0" collapsed="false">
      <c r="A142" s="9"/>
      <c r="B142" s="10"/>
      <c r="C142" s="11"/>
      <c r="D142" s="12" t="str">
        <f aca="false">IF(N(C142)=0,"",C142*$B$3)</f>
        <v/>
      </c>
      <c r="E142" s="10"/>
      <c r="F142" s="12" t="str">
        <f aca="false">IF(N(E142)=0,"",E142*$B$4)</f>
        <v/>
      </c>
      <c r="G142" s="11"/>
      <c r="H142" s="10"/>
    </row>
    <row r="143" customFormat="false" ht="15" hidden="false" customHeight="false" outlineLevel="0" collapsed="false">
      <c r="A143" s="9"/>
      <c r="B143" s="10"/>
      <c r="C143" s="11"/>
      <c r="D143" s="12" t="str">
        <f aca="false">IF(N(C143)=0,"",C143*$B$3)</f>
        <v/>
      </c>
      <c r="E143" s="10"/>
      <c r="F143" s="12" t="str">
        <f aca="false">IF(N(E143)=0,"",E143*$B$4)</f>
        <v/>
      </c>
      <c r="G143" s="11"/>
      <c r="H143" s="10"/>
    </row>
    <row r="144" customFormat="false" ht="15" hidden="false" customHeight="false" outlineLevel="0" collapsed="false">
      <c r="A144" s="9"/>
      <c r="B144" s="10"/>
      <c r="C144" s="11"/>
      <c r="D144" s="12" t="str">
        <f aca="false">IF(N(C144)=0,"",C144*$B$3)</f>
        <v/>
      </c>
      <c r="E144" s="10"/>
      <c r="F144" s="12" t="str">
        <f aca="false">IF(N(E144)=0,"",E144*$B$4)</f>
        <v/>
      </c>
      <c r="G144" s="11"/>
      <c r="H144" s="10"/>
    </row>
    <row r="145" customFormat="false" ht="15" hidden="false" customHeight="false" outlineLevel="0" collapsed="false">
      <c r="A145" s="9"/>
      <c r="B145" s="10"/>
      <c r="C145" s="11"/>
      <c r="D145" s="12" t="str">
        <f aca="false">IF(N(C145)=0,"",C145*$B$3)</f>
        <v/>
      </c>
      <c r="E145" s="10"/>
      <c r="F145" s="12" t="str">
        <f aca="false">IF(N(E145)=0,"",E145*$B$4)</f>
        <v/>
      </c>
      <c r="G145" s="11"/>
      <c r="H145" s="10"/>
    </row>
    <row r="146" customFormat="false" ht="15" hidden="false" customHeight="false" outlineLevel="0" collapsed="false">
      <c r="A146" s="9"/>
      <c r="B146" s="10"/>
      <c r="C146" s="11"/>
      <c r="D146" s="12" t="str">
        <f aca="false">IF(N(C146)=0,"",C146*$B$3)</f>
        <v/>
      </c>
      <c r="E146" s="10"/>
      <c r="F146" s="12" t="str">
        <f aca="false">IF(N(E146)=0,"",E146*$B$4)</f>
        <v/>
      </c>
      <c r="G146" s="11"/>
      <c r="H146" s="10"/>
    </row>
    <row r="147" customFormat="false" ht="15" hidden="false" customHeight="false" outlineLevel="0" collapsed="false">
      <c r="A147" s="9"/>
      <c r="B147" s="10"/>
      <c r="C147" s="11"/>
      <c r="D147" s="12" t="str">
        <f aca="false">IF(N(C147)=0,"",C147*$B$3)</f>
        <v/>
      </c>
      <c r="E147" s="10"/>
      <c r="F147" s="12" t="str">
        <f aca="false">IF(N(E147)=0,"",E147*$B$4)</f>
        <v/>
      </c>
      <c r="G147" s="11"/>
      <c r="H147" s="10"/>
    </row>
    <row r="148" customFormat="false" ht="15" hidden="false" customHeight="false" outlineLevel="0" collapsed="false">
      <c r="A148" s="9"/>
      <c r="B148" s="10"/>
      <c r="C148" s="11"/>
      <c r="D148" s="12" t="str">
        <f aca="false">IF(N(C148)=0,"",C148*$B$3)</f>
        <v/>
      </c>
      <c r="E148" s="10"/>
      <c r="F148" s="12" t="str">
        <f aca="false">IF(N(E148)=0,"",E148*$B$4)</f>
        <v/>
      </c>
      <c r="G148" s="11"/>
      <c r="H148" s="10"/>
    </row>
    <row r="149" customFormat="false" ht="15" hidden="false" customHeight="false" outlineLevel="0" collapsed="false">
      <c r="A149" s="9"/>
      <c r="B149" s="10"/>
      <c r="C149" s="11"/>
      <c r="D149" s="12" t="str">
        <f aca="false">IF(N(C149)=0,"",C149*$B$3)</f>
        <v/>
      </c>
      <c r="E149" s="10"/>
      <c r="F149" s="12" t="str">
        <f aca="false">IF(N(E149)=0,"",E149*$B$4)</f>
        <v/>
      </c>
      <c r="G149" s="11"/>
      <c r="H149" s="10"/>
    </row>
    <row r="150" customFormat="false" ht="15" hidden="false" customHeight="false" outlineLevel="0" collapsed="false">
      <c r="A150" s="9"/>
      <c r="B150" s="10"/>
      <c r="C150" s="11"/>
      <c r="D150" s="12" t="str">
        <f aca="false">IF(N(C150)=0,"",C150*$B$3)</f>
        <v/>
      </c>
      <c r="E150" s="10"/>
      <c r="F150" s="12" t="str">
        <f aca="false">IF(N(E150)=0,"",E150*$B$4)</f>
        <v/>
      </c>
      <c r="G150" s="11"/>
      <c r="H150" s="10"/>
    </row>
    <row r="151" customFormat="false" ht="15" hidden="false" customHeight="false" outlineLevel="0" collapsed="false">
      <c r="A151" s="9"/>
      <c r="B151" s="10"/>
      <c r="C151" s="11"/>
      <c r="D151" s="12" t="str">
        <f aca="false">IF(N(C151)=0,"",C151*$B$3)</f>
        <v/>
      </c>
      <c r="E151" s="10"/>
      <c r="F151" s="12" t="str">
        <f aca="false">IF(N(E151)=0,"",E151*$B$4)</f>
        <v/>
      </c>
      <c r="G151" s="11"/>
      <c r="H151" s="10"/>
    </row>
    <row r="152" customFormat="false" ht="15" hidden="false" customHeight="false" outlineLevel="0" collapsed="false">
      <c r="A152" s="9"/>
      <c r="B152" s="10"/>
      <c r="C152" s="11"/>
      <c r="D152" s="12" t="str">
        <f aca="false">IF(N(C152)=0,"",C152*$B$3)</f>
        <v/>
      </c>
      <c r="E152" s="10"/>
      <c r="F152" s="12" t="str">
        <f aca="false">IF(N(E152)=0,"",E152*$B$4)</f>
        <v/>
      </c>
      <c r="G152" s="11"/>
      <c r="H152" s="10"/>
    </row>
    <row r="153" customFormat="false" ht="15" hidden="false" customHeight="false" outlineLevel="0" collapsed="false">
      <c r="A153" s="9"/>
      <c r="B153" s="10"/>
      <c r="C153" s="11"/>
      <c r="D153" s="12" t="str">
        <f aca="false">IF(N(C153)=0,"",C153*$B$3)</f>
        <v/>
      </c>
      <c r="E153" s="10"/>
      <c r="F153" s="12" t="str">
        <f aca="false">IF(N(E153)=0,"",E153*$B$4)</f>
        <v/>
      </c>
      <c r="G153" s="11"/>
      <c r="H153" s="10"/>
    </row>
    <row r="154" customFormat="false" ht="15" hidden="false" customHeight="false" outlineLevel="0" collapsed="false">
      <c r="A154" s="9"/>
      <c r="B154" s="10"/>
      <c r="C154" s="11"/>
      <c r="D154" s="12" t="str">
        <f aca="false">IF(N(C154)=0,"",C154*$B$3)</f>
        <v/>
      </c>
      <c r="E154" s="10"/>
      <c r="F154" s="12" t="str">
        <f aca="false">IF(N(E154)=0,"",E154*$B$4)</f>
        <v/>
      </c>
      <c r="G154" s="11"/>
      <c r="H154" s="10"/>
    </row>
    <row r="155" customFormat="false" ht="15" hidden="false" customHeight="false" outlineLevel="0" collapsed="false">
      <c r="A155" s="9"/>
      <c r="B155" s="10"/>
      <c r="C155" s="11"/>
      <c r="D155" s="12" t="str">
        <f aca="false">IF(N(C155)=0,"",C155*$B$3)</f>
        <v/>
      </c>
      <c r="E155" s="10"/>
      <c r="F155" s="12" t="str">
        <f aca="false">IF(N(E155)=0,"",E155*$B$4)</f>
        <v/>
      </c>
      <c r="G155" s="11"/>
      <c r="H155" s="10"/>
    </row>
    <row r="156" customFormat="false" ht="15" hidden="false" customHeight="false" outlineLevel="0" collapsed="false">
      <c r="A156" s="9"/>
      <c r="B156" s="10"/>
      <c r="C156" s="11"/>
      <c r="D156" s="12" t="str">
        <f aca="false">IF(N(C156)=0,"",C156*$B$3)</f>
        <v/>
      </c>
      <c r="E156" s="10"/>
      <c r="F156" s="12" t="str">
        <f aca="false">IF(N(E156)=0,"",E156*$B$4)</f>
        <v/>
      </c>
      <c r="G156" s="11"/>
      <c r="H156" s="10"/>
    </row>
    <row r="157" customFormat="false" ht="15" hidden="false" customHeight="false" outlineLevel="0" collapsed="false">
      <c r="A157" s="9"/>
      <c r="B157" s="10"/>
      <c r="C157" s="11"/>
      <c r="D157" s="12" t="str">
        <f aca="false">IF(N(C157)=0,"",C157*$B$3)</f>
        <v/>
      </c>
      <c r="E157" s="10"/>
      <c r="F157" s="12" t="str">
        <f aca="false">IF(N(E157)=0,"",E157*$B$4)</f>
        <v/>
      </c>
      <c r="G157" s="11"/>
      <c r="H157" s="10"/>
    </row>
    <row r="158" customFormat="false" ht="15" hidden="false" customHeight="false" outlineLevel="0" collapsed="false">
      <c r="A158" s="9"/>
      <c r="B158" s="10"/>
      <c r="C158" s="11"/>
      <c r="D158" s="12" t="str">
        <f aca="false">IF(N(C158)=0,"",C158*$B$3)</f>
        <v/>
      </c>
      <c r="E158" s="10"/>
      <c r="F158" s="12" t="str">
        <f aca="false">IF(N(E158)=0,"",E158*$B$4)</f>
        <v/>
      </c>
      <c r="G158" s="11"/>
      <c r="H158" s="10"/>
    </row>
    <row r="159" customFormat="false" ht="15" hidden="false" customHeight="false" outlineLevel="0" collapsed="false">
      <c r="A159" s="9"/>
      <c r="B159" s="10"/>
      <c r="C159" s="11"/>
      <c r="D159" s="12" t="str">
        <f aca="false">IF(N(C159)=0,"",C159*$B$3)</f>
        <v/>
      </c>
      <c r="E159" s="10"/>
      <c r="F159" s="12" t="str">
        <f aca="false">IF(N(E159)=0,"",E159*$B$4)</f>
        <v/>
      </c>
      <c r="G159" s="11"/>
      <c r="H159" s="10"/>
    </row>
    <row r="160" customFormat="false" ht="15" hidden="false" customHeight="false" outlineLevel="0" collapsed="false">
      <c r="A160" s="9"/>
      <c r="B160" s="10"/>
      <c r="C160" s="11"/>
      <c r="D160" s="12" t="str">
        <f aca="false">IF(N(C160)=0,"",C160*$B$3)</f>
        <v/>
      </c>
      <c r="E160" s="10"/>
      <c r="F160" s="12" t="str">
        <f aca="false">IF(N(E160)=0,"",E160*$B$4)</f>
        <v/>
      </c>
      <c r="G160" s="11"/>
      <c r="H160" s="10"/>
    </row>
    <row r="161" customFormat="false" ht="15" hidden="false" customHeight="false" outlineLevel="0" collapsed="false">
      <c r="A161" s="9"/>
      <c r="B161" s="10"/>
      <c r="C161" s="11"/>
      <c r="D161" s="12" t="str">
        <f aca="false">IF(N(C161)=0,"",C161*$B$3)</f>
        <v/>
      </c>
      <c r="E161" s="10"/>
      <c r="F161" s="12" t="str">
        <f aca="false">IF(N(E161)=0,"",E161*$B$4)</f>
        <v/>
      </c>
      <c r="G161" s="11"/>
      <c r="H161" s="10"/>
    </row>
    <row r="162" customFormat="false" ht="15" hidden="false" customHeight="false" outlineLevel="0" collapsed="false">
      <c r="A162" s="9"/>
      <c r="B162" s="10"/>
      <c r="C162" s="11"/>
      <c r="D162" s="12" t="str">
        <f aca="false">IF(N(C162)=0,"",C162*$B$3)</f>
        <v/>
      </c>
      <c r="E162" s="10"/>
      <c r="F162" s="12" t="str">
        <f aca="false">IF(N(E162)=0,"",E162*$B$4)</f>
        <v/>
      </c>
      <c r="G162" s="11"/>
      <c r="H162" s="10"/>
    </row>
    <row r="163" customFormat="false" ht="15" hidden="false" customHeight="false" outlineLevel="0" collapsed="false">
      <c r="A163" s="9"/>
      <c r="B163" s="10"/>
      <c r="C163" s="11"/>
      <c r="D163" s="12" t="str">
        <f aca="false">IF(N(C163)=0,"",C163*$B$3)</f>
        <v/>
      </c>
      <c r="E163" s="10"/>
      <c r="F163" s="12" t="str">
        <f aca="false">IF(N(E163)=0,"",E163*$B$4)</f>
        <v/>
      </c>
      <c r="G163" s="11"/>
      <c r="H163" s="10"/>
    </row>
    <row r="164" customFormat="false" ht="15" hidden="false" customHeight="false" outlineLevel="0" collapsed="false">
      <c r="A164" s="9"/>
      <c r="B164" s="10"/>
      <c r="C164" s="11"/>
      <c r="D164" s="12" t="str">
        <f aca="false">IF(N(C164)=0,"",C164*$B$3)</f>
        <v/>
      </c>
      <c r="E164" s="10"/>
      <c r="F164" s="12" t="str">
        <f aca="false">IF(N(E164)=0,"",E164*$B$4)</f>
        <v/>
      </c>
      <c r="G164" s="11"/>
      <c r="H164" s="10"/>
    </row>
    <row r="165" customFormat="false" ht="15" hidden="false" customHeight="false" outlineLevel="0" collapsed="false">
      <c r="A165" s="9"/>
      <c r="B165" s="10"/>
      <c r="C165" s="11"/>
      <c r="D165" s="12" t="str">
        <f aca="false">IF(N(C165)=0,"",C165*$B$3)</f>
        <v/>
      </c>
      <c r="E165" s="10"/>
      <c r="F165" s="12" t="str">
        <f aca="false">IF(N(E165)=0,"",E165*$B$4)</f>
        <v/>
      </c>
      <c r="G165" s="11"/>
      <c r="H165" s="10"/>
    </row>
    <row r="166" customFormat="false" ht="15" hidden="false" customHeight="false" outlineLevel="0" collapsed="false">
      <c r="A166" s="9"/>
      <c r="B166" s="10"/>
      <c r="C166" s="11"/>
      <c r="D166" s="12" t="str">
        <f aca="false">IF(N(C166)=0,"",C166*$B$3)</f>
        <v/>
      </c>
      <c r="E166" s="10"/>
      <c r="F166" s="12" t="str">
        <f aca="false">IF(N(E166)=0,"",E166*$B$4)</f>
        <v/>
      </c>
      <c r="G166" s="11"/>
      <c r="H166" s="10"/>
    </row>
    <row r="167" customFormat="false" ht="15" hidden="false" customHeight="false" outlineLevel="0" collapsed="false">
      <c r="A167" s="9"/>
      <c r="B167" s="10"/>
      <c r="C167" s="11"/>
      <c r="D167" s="12" t="str">
        <f aca="false">IF(N(C167)=0,"",C167*$B$3)</f>
        <v/>
      </c>
      <c r="E167" s="10"/>
      <c r="F167" s="12" t="str">
        <f aca="false">IF(N(E167)=0,"",E167*$B$4)</f>
        <v/>
      </c>
      <c r="G167" s="11"/>
      <c r="H167" s="10"/>
    </row>
    <row r="168" customFormat="false" ht="15" hidden="false" customHeight="false" outlineLevel="0" collapsed="false">
      <c r="A168" s="9"/>
      <c r="B168" s="10"/>
      <c r="C168" s="11"/>
      <c r="D168" s="12" t="str">
        <f aca="false">IF(N(C168)=0,"",C168*$B$3)</f>
        <v/>
      </c>
      <c r="E168" s="10"/>
      <c r="F168" s="12" t="str">
        <f aca="false">IF(N(E168)=0,"",E168*$B$4)</f>
        <v/>
      </c>
      <c r="G168" s="11"/>
      <c r="H168" s="10"/>
    </row>
    <row r="169" customFormat="false" ht="15" hidden="false" customHeight="false" outlineLevel="0" collapsed="false">
      <c r="A169" s="9"/>
      <c r="B169" s="10"/>
      <c r="C169" s="11"/>
      <c r="D169" s="12" t="str">
        <f aca="false">IF(N(C169)=0,"",C169*$B$3)</f>
        <v/>
      </c>
      <c r="E169" s="10"/>
      <c r="F169" s="12" t="str">
        <f aca="false">IF(N(E169)=0,"",E169*$B$4)</f>
        <v/>
      </c>
      <c r="G169" s="11"/>
      <c r="H169" s="10"/>
    </row>
    <row r="170" customFormat="false" ht="15" hidden="false" customHeight="false" outlineLevel="0" collapsed="false">
      <c r="A170" s="9"/>
      <c r="B170" s="10"/>
      <c r="C170" s="11"/>
      <c r="D170" s="12" t="str">
        <f aca="false">IF(N(C170)=0,"",C170*$B$3)</f>
        <v/>
      </c>
      <c r="E170" s="10"/>
      <c r="F170" s="12" t="str">
        <f aca="false">IF(N(E170)=0,"",E170*$B$4)</f>
        <v/>
      </c>
      <c r="G170" s="11"/>
      <c r="H170" s="10"/>
    </row>
    <row r="171" customFormat="false" ht="15" hidden="false" customHeight="false" outlineLevel="0" collapsed="false">
      <c r="A171" s="9"/>
      <c r="B171" s="10"/>
      <c r="C171" s="11"/>
      <c r="D171" s="12" t="str">
        <f aca="false">IF(N(C171)=0,"",C171*$B$3)</f>
        <v/>
      </c>
      <c r="E171" s="10"/>
      <c r="F171" s="12" t="str">
        <f aca="false">IF(N(E171)=0,"",E171*$B$4)</f>
        <v/>
      </c>
      <c r="G171" s="11"/>
      <c r="H171" s="10"/>
    </row>
    <row r="172" customFormat="false" ht="15" hidden="false" customHeight="false" outlineLevel="0" collapsed="false">
      <c r="A172" s="9"/>
      <c r="B172" s="10"/>
      <c r="C172" s="11"/>
      <c r="D172" s="12" t="str">
        <f aca="false">IF(N(C172)=0,"",C172*$B$3)</f>
        <v/>
      </c>
      <c r="E172" s="10"/>
      <c r="F172" s="12" t="str">
        <f aca="false">IF(N(E172)=0,"",E172*$B$4)</f>
        <v/>
      </c>
      <c r="G172" s="11"/>
      <c r="H172" s="10"/>
    </row>
    <row r="173" customFormat="false" ht="15" hidden="false" customHeight="false" outlineLevel="0" collapsed="false">
      <c r="A173" s="9"/>
      <c r="B173" s="10"/>
      <c r="C173" s="11"/>
      <c r="D173" s="12" t="str">
        <f aca="false">IF(N(C173)=0,"",C173*$B$3)</f>
        <v/>
      </c>
      <c r="E173" s="10"/>
      <c r="F173" s="12" t="str">
        <f aca="false">IF(N(E173)=0,"",E173*$B$4)</f>
        <v/>
      </c>
      <c r="G173" s="11"/>
      <c r="H173" s="10"/>
    </row>
    <row r="174" customFormat="false" ht="15" hidden="false" customHeight="false" outlineLevel="0" collapsed="false">
      <c r="A174" s="9"/>
      <c r="B174" s="10"/>
      <c r="C174" s="11"/>
      <c r="D174" s="12" t="str">
        <f aca="false">IF(N(C174)=0,"",C174*$B$3)</f>
        <v/>
      </c>
      <c r="E174" s="10"/>
      <c r="F174" s="12" t="str">
        <f aca="false">IF(N(E174)=0,"",E174*$B$4)</f>
        <v/>
      </c>
      <c r="G174" s="11"/>
      <c r="H174" s="10"/>
    </row>
    <row r="175" customFormat="false" ht="15" hidden="false" customHeight="false" outlineLevel="0" collapsed="false">
      <c r="A175" s="9"/>
      <c r="B175" s="10"/>
      <c r="C175" s="11"/>
      <c r="D175" s="12" t="str">
        <f aca="false">IF(N(C175)=0,"",C175*$B$3)</f>
        <v/>
      </c>
      <c r="E175" s="10"/>
      <c r="F175" s="12" t="str">
        <f aca="false">IF(N(E175)=0,"",E175*$B$4)</f>
        <v/>
      </c>
      <c r="G175" s="11"/>
      <c r="H175" s="10"/>
    </row>
    <row r="176" customFormat="false" ht="15" hidden="false" customHeight="false" outlineLevel="0" collapsed="false">
      <c r="A176" s="9"/>
      <c r="B176" s="10"/>
      <c r="C176" s="11"/>
      <c r="D176" s="12" t="str">
        <f aca="false">IF(N(C176)=0,"",C176*$B$3)</f>
        <v/>
      </c>
      <c r="E176" s="10"/>
      <c r="F176" s="12" t="str">
        <f aca="false">IF(N(E176)=0,"",E176*$B$4)</f>
        <v/>
      </c>
      <c r="G176" s="11"/>
      <c r="H176" s="10"/>
    </row>
    <row r="177" customFormat="false" ht="15" hidden="false" customHeight="false" outlineLevel="0" collapsed="false">
      <c r="A177" s="9"/>
      <c r="B177" s="10"/>
      <c r="C177" s="11"/>
      <c r="D177" s="12" t="str">
        <f aca="false">IF(N(C177)=0,"",C177*$B$3)</f>
        <v/>
      </c>
      <c r="E177" s="10"/>
      <c r="F177" s="12" t="str">
        <f aca="false">IF(N(E177)=0,"",E177*$B$4)</f>
        <v/>
      </c>
      <c r="G177" s="11"/>
      <c r="H177" s="10"/>
    </row>
    <row r="178" customFormat="false" ht="15" hidden="false" customHeight="false" outlineLevel="0" collapsed="false">
      <c r="A178" s="9"/>
      <c r="B178" s="10"/>
      <c r="C178" s="11"/>
      <c r="D178" s="12" t="str">
        <f aca="false">IF(N(C178)=0,"",C178*$B$3)</f>
        <v/>
      </c>
      <c r="E178" s="10"/>
      <c r="F178" s="12" t="str">
        <f aca="false">IF(N(E178)=0,"",E178*$B$4)</f>
        <v/>
      </c>
      <c r="G178" s="11"/>
      <c r="H178" s="10"/>
    </row>
    <row r="179" customFormat="false" ht="15" hidden="false" customHeight="false" outlineLevel="0" collapsed="false">
      <c r="A179" s="9"/>
      <c r="B179" s="10"/>
      <c r="C179" s="11"/>
      <c r="D179" s="12" t="str">
        <f aca="false">IF(N(C179)=0,"",C179*$B$3)</f>
        <v/>
      </c>
      <c r="E179" s="10"/>
      <c r="F179" s="12" t="str">
        <f aca="false">IF(N(E179)=0,"",E179*$B$4)</f>
        <v/>
      </c>
      <c r="G179" s="11"/>
      <c r="H179" s="10"/>
    </row>
    <row r="180" customFormat="false" ht="15" hidden="false" customHeight="false" outlineLevel="0" collapsed="false">
      <c r="A180" s="9"/>
      <c r="B180" s="10"/>
      <c r="C180" s="11"/>
      <c r="D180" s="12" t="str">
        <f aca="false">IF(N(C180)=0,"",C180*$B$3)</f>
        <v/>
      </c>
      <c r="E180" s="10"/>
      <c r="F180" s="12" t="str">
        <f aca="false">IF(N(E180)=0,"",E180*$B$4)</f>
        <v/>
      </c>
      <c r="G180" s="11"/>
      <c r="H180" s="10"/>
    </row>
    <row r="181" customFormat="false" ht="15" hidden="false" customHeight="false" outlineLevel="0" collapsed="false">
      <c r="A181" s="9"/>
      <c r="B181" s="10"/>
      <c r="C181" s="11"/>
      <c r="D181" s="12" t="str">
        <f aca="false">IF(N(C181)=0,"",C181*$B$3)</f>
        <v/>
      </c>
      <c r="E181" s="10"/>
      <c r="F181" s="12" t="str">
        <f aca="false">IF(N(E181)=0,"",E181*$B$4)</f>
        <v/>
      </c>
      <c r="G181" s="11"/>
      <c r="H181" s="10"/>
    </row>
    <row r="182" customFormat="false" ht="15" hidden="false" customHeight="false" outlineLevel="0" collapsed="false">
      <c r="A182" s="9"/>
      <c r="B182" s="10"/>
      <c r="C182" s="11"/>
      <c r="D182" s="12" t="str">
        <f aca="false">IF(N(C182)=0,"",C182*$B$3)</f>
        <v/>
      </c>
      <c r="E182" s="10"/>
      <c r="F182" s="12" t="str">
        <f aca="false">IF(N(E182)=0,"",E182*$B$4)</f>
        <v/>
      </c>
      <c r="G182" s="11"/>
      <c r="H182" s="10"/>
    </row>
    <row r="183" customFormat="false" ht="15" hidden="false" customHeight="false" outlineLevel="0" collapsed="false">
      <c r="A183" s="9"/>
      <c r="B183" s="10"/>
      <c r="C183" s="11"/>
      <c r="D183" s="12" t="str">
        <f aca="false">IF(N(C183)=0,"",C183*$B$3)</f>
        <v/>
      </c>
      <c r="E183" s="10"/>
      <c r="F183" s="12" t="str">
        <f aca="false">IF(N(E183)=0,"",E183*$B$4)</f>
        <v/>
      </c>
      <c r="G183" s="11"/>
      <c r="H183" s="10"/>
    </row>
    <row r="184" customFormat="false" ht="15" hidden="false" customHeight="false" outlineLevel="0" collapsed="false">
      <c r="A184" s="9"/>
      <c r="B184" s="10"/>
      <c r="C184" s="11"/>
      <c r="D184" s="12" t="str">
        <f aca="false">IF(N(C184)=0,"",C184*$B$3)</f>
        <v/>
      </c>
      <c r="E184" s="10"/>
      <c r="F184" s="12" t="str">
        <f aca="false">IF(N(E184)=0,"",E184*$B$4)</f>
        <v/>
      </c>
      <c r="G184" s="11"/>
      <c r="H184" s="10"/>
    </row>
    <row r="185" customFormat="false" ht="15" hidden="false" customHeight="false" outlineLevel="0" collapsed="false">
      <c r="A185" s="9"/>
      <c r="B185" s="10"/>
      <c r="C185" s="11"/>
      <c r="D185" s="12" t="str">
        <f aca="false">IF(N(C185)=0,"",C185*$B$3)</f>
        <v/>
      </c>
      <c r="E185" s="10"/>
      <c r="F185" s="12" t="str">
        <f aca="false">IF(N(E185)=0,"",E185*$B$4)</f>
        <v/>
      </c>
      <c r="G185" s="11"/>
      <c r="H185" s="10"/>
    </row>
    <row r="186" customFormat="false" ht="15" hidden="false" customHeight="false" outlineLevel="0" collapsed="false">
      <c r="A186" s="9"/>
      <c r="B186" s="10"/>
      <c r="C186" s="11"/>
      <c r="D186" s="12" t="str">
        <f aca="false">IF(N(C186)=0,"",C186*$B$3)</f>
        <v/>
      </c>
      <c r="E186" s="10"/>
      <c r="F186" s="12" t="str">
        <f aca="false">IF(N(E186)=0,"",E186*$B$4)</f>
        <v/>
      </c>
      <c r="G186" s="11"/>
      <c r="H186" s="10"/>
    </row>
    <row r="187" customFormat="false" ht="15" hidden="false" customHeight="false" outlineLevel="0" collapsed="false">
      <c r="A187" s="9"/>
      <c r="B187" s="10"/>
      <c r="C187" s="11"/>
      <c r="D187" s="12" t="str">
        <f aca="false">IF(N(C187)=0,"",C187*$B$3)</f>
        <v/>
      </c>
      <c r="E187" s="10"/>
      <c r="F187" s="12" t="str">
        <f aca="false">IF(N(E187)=0,"",E187*$B$4)</f>
        <v/>
      </c>
      <c r="G187" s="11"/>
      <c r="H187" s="10"/>
    </row>
    <row r="188" customFormat="false" ht="15" hidden="false" customHeight="false" outlineLevel="0" collapsed="false">
      <c r="A188" s="9"/>
      <c r="B188" s="10"/>
      <c r="C188" s="11"/>
      <c r="D188" s="12" t="str">
        <f aca="false">IF(N(C188)=0,"",C188*$B$3)</f>
        <v/>
      </c>
      <c r="E188" s="10"/>
      <c r="F188" s="12" t="str">
        <f aca="false">IF(N(E188)=0,"",E188*$B$4)</f>
        <v/>
      </c>
      <c r="G188" s="11"/>
      <c r="H188" s="10"/>
    </row>
    <row r="189" customFormat="false" ht="15" hidden="false" customHeight="false" outlineLevel="0" collapsed="false">
      <c r="A189" s="9"/>
      <c r="B189" s="10"/>
      <c r="C189" s="11"/>
      <c r="D189" s="12" t="str">
        <f aca="false">IF(N(C189)=0,"",C189*$B$3)</f>
        <v/>
      </c>
      <c r="E189" s="10"/>
      <c r="F189" s="12" t="str">
        <f aca="false">IF(N(E189)=0,"",E189*$B$4)</f>
        <v/>
      </c>
      <c r="G189" s="11"/>
      <c r="H189" s="10"/>
    </row>
    <row r="190" customFormat="false" ht="15" hidden="false" customHeight="false" outlineLevel="0" collapsed="false">
      <c r="A190" s="9"/>
      <c r="B190" s="10"/>
      <c r="C190" s="11"/>
      <c r="D190" s="12" t="str">
        <f aca="false">IF(N(C190)=0,"",C190*$B$3)</f>
        <v/>
      </c>
      <c r="E190" s="10"/>
      <c r="F190" s="12" t="str">
        <f aca="false">IF(N(E190)=0,"",E190*$B$4)</f>
        <v/>
      </c>
      <c r="G190" s="11"/>
      <c r="H190" s="10"/>
    </row>
    <row r="191" customFormat="false" ht="15" hidden="false" customHeight="false" outlineLevel="0" collapsed="false">
      <c r="A191" s="9"/>
      <c r="B191" s="10"/>
      <c r="C191" s="11"/>
      <c r="D191" s="12" t="str">
        <f aca="false">IF(N(C191)=0,"",C191*$B$3)</f>
        <v/>
      </c>
      <c r="E191" s="10"/>
      <c r="F191" s="12" t="str">
        <f aca="false">IF(N(E191)=0,"",E191*$B$4)</f>
        <v/>
      </c>
      <c r="G191" s="11"/>
      <c r="H191" s="10"/>
    </row>
    <row r="192" customFormat="false" ht="15" hidden="false" customHeight="false" outlineLevel="0" collapsed="false">
      <c r="A192" s="9"/>
      <c r="B192" s="10"/>
      <c r="C192" s="11"/>
      <c r="D192" s="12" t="str">
        <f aca="false">IF(N(C192)=0,"",C192*$B$3)</f>
        <v/>
      </c>
      <c r="E192" s="10"/>
      <c r="F192" s="12" t="str">
        <f aca="false">IF(N(E192)=0,"",E192*$B$4)</f>
        <v/>
      </c>
      <c r="G192" s="11"/>
      <c r="H192" s="10"/>
    </row>
    <row r="193" customFormat="false" ht="15" hidden="false" customHeight="false" outlineLevel="0" collapsed="false">
      <c r="A193" s="9"/>
      <c r="B193" s="10"/>
      <c r="C193" s="11"/>
      <c r="D193" s="12" t="str">
        <f aca="false">IF(N(C193)=0,"",C193*$B$3)</f>
        <v/>
      </c>
      <c r="E193" s="10"/>
      <c r="F193" s="12" t="str">
        <f aca="false">IF(N(E193)=0,"",E193*$B$4)</f>
        <v/>
      </c>
      <c r="G193" s="11"/>
      <c r="H193" s="10"/>
    </row>
    <row r="194" customFormat="false" ht="15" hidden="false" customHeight="false" outlineLevel="0" collapsed="false">
      <c r="A194" s="9"/>
      <c r="B194" s="10"/>
      <c r="C194" s="11"/>
      <c r="D194" s="12" t="str">
        <f aca="false">IF(N(C194)=0,"",C194*$B$3)</f>
        <v/>
      </c>
      <c r="E194" s="10"/>
      <c r="F194" s="12" t="str">
        <f aca="false">IF(N(E194)=0,"",E194*$B$4)</f>
        <v/>
      </c>
      <c r="G194" s="11"/>
      <c r="H194" s="10"/>
    </row>
    <row r="195" customFormat="false" ht="15" hidden="false" customHeight="false" outlineLevel="0" collapsed="false">
      <c r="A195" s="9"/>
      <c r="B195" s="10"/>
      <c r="C195" s="11"/>
      <c r="D195" s="12" t="str">
        <f aca="false">IF(N(C195)=0,"",C195*$B$3)</f>
        <v/>
      </c>
      <c r="E195" s="10"/>
      <c r="F195" s="12" t="str">
        <f aca="false">IF(N(E195)=0,"",E195*$B$4)</f>
        <v/>
      </c>
      <c r="G195" s="11"/>
      <c r="H195" s="10"/>
    </row>
    <row r="196" customFormat="false" ht="15" hidden="false" customHeight="false" outlineLevel="0" collapsed="false">
      <c r="A196" s="9"/>
      <c r="B196" s="10"/>
      <c r="C196" s="11"/>
      <c r="D196" s="12" t="str">
        <f aca="false">IF(N(C196)=0,"",C196*$B$3)</f>
        <v/>
      </c>
      <c r="E196" s="10"/>
      <c r="F196" s="12" t="str">
        <f aca="false">IF(N(E196)=0,"",E196*$B$4)</f>
        <v/>
      </c>
      <c r="G196" s="11"/>
      <c r="H196" s="10"/>
    </row>
    <row r="197" customFormat="false" ht="15" hidden="false" customHeight="false" outlineLevel="0" collapsed="false">
      <c r="A197" s="9"/>
      <c r="B197" s="10"/>
      <c r="C197" s="11"/>
      <c r="D197" s="12" t="str">
        <f aca="false">IF(N(C197)=0,"",C197*$B$3)</f>
        <v/>
      </c>
      <c r="E197" s="10"/>
      <c r="F197" s="12" t="str">
        <f aca="false">IF(N(E197)=0,"",E197*$B$4)</f>
        <v/>
      </c>
      <c r="G197" s="11"/>
      <c r="H197" s="10"/>
    </row>
    <row r="198" customFormat="false" ht="15" hidden="false" customHeight="false" outlineLevel="0" collapsed="false">
      <c r="A198" s="9"/>
      <c r="B198" s="10"/>
      <c r="C198" s="11"/>
      <c r="D198" s="12" t="str">
        <f aca="false">IF(N(C198)=0,"",C198*$B$3)</f>
        <v/>
      </c>
      <c r="E198" s="10"/>
      <c r="F198" s="12" t="str">
        <f aca="false">IF(N(E198)=0,"",E198*$B$4)</f>
        <v/>
      </c>
      <c r="G198" s="11"/>
      <c r="H198" s="10"/>
    </row>
    <row r="199" customFormat="false" ht="15" hidden="false" customHeight="false" outlineLevel="0" collapsed="false">
      <c r="A199" s="9"/>
      <c r="B199" s="10"/>
      <c r="C199" s="11"/>
      <c r="D199" s="12" t="str">
        <f aca="false">IF(N(C199)=0,"",C199*$B$3)</f>
        <v/>
      </c>
      <c r="E199" s="10"/>
      <c r="F199" s="12" t="str">
        <f aca="false">IF(N(E199)=0,"",E199*$B$4)</f>
        <v/>
      </c>
      <c r="G199" s="11"/>
      <c r="H199" s="10"/>
    </row>
    <row r="200" customFormat="false" ht="15" hidden="false" customHeight="false" outlineLevel="0" collapsed="false">
      <c r="A200" s="9"/>
      <c r="B200" s="10"/>
      <c r="C200" s="11"/>
      <c r="D200" s="12" t="str">
        <f aca="false">IF(N(C200)=0,"",C200*$B$3)</f>
        <v/>
      </c>
      <c r="E200" s="10"/>
      <c r="F200" s="12" t="str">
        <f aca="false">IF(N(E200)=0,"",E200*$B$4)</f>
        <v/>
      </c>
      <c r="G200" s="11"/>
      <c r="H200" s="10"/>
    </row>
    <row r="201" customFormat="false" ht="15" hidden="false" customHeight="false" outlineLevel="0" collapsed="false">
      <c r="A201" s="9"/>
      <c r="B201" s="10"/>
      <c r="C201" s="11"/>
      <c r="D201" s="12" t="str">
        <f aca="false">IF(N(C201)=0,"",C201*$B$3)</f>
        <v/>
      </c>
      <c r="E201" s="10"/>
      <c r="F201" s="12" t="str">
        <f aca="false">IF(N(E201)=0,"",E201*$B$4)</f>
        <v/>
      </c>
      <c r="G201" s="11"/>
      <c r="H201" s="10"/>
    </row>
    <row r="202" customFormat="false" ht="15" hidden="false" customHeight="false" outlineLevel="0" collapsed="false">
      <c r="A202" s="9"/>
      <c r="B202" s="10"/>
      <c r="C202" s="11"/>
      <c r="D202" s="12" t="str">
        <f aca="false">IF(N(C202)=0,"",C202*$B$3)</f>
        <v/>
      </c>
      <c r="E202" s="10"/>
      <c r="F202" s="12" t="str">
        <f aca="false">IF(N(E202)=0,"",E202*$B$4)</f>
        <v/>
      </c>
      <c r="G202" s="11"/>
      <c r="H202" s="10"/>
    </row>
    <row r="203" customFormat="false" ht="15" hidden="false" customHeight="false" outlineLevel="0" collapsed="false">
      <c r="A203" s="9"/>
      <c r="B203" s="10"/>
      <c r="C203" s="11"/>
      <c r="D203" s="12" t="str">
        <f aca="false">IF(N(C203)=0,"",C203*$B$3)</f>
        <v/>
      </c>
      <c r="E203" s="10"/>
      <c r="F203" s="12" t="str">
        <f aca="false">IF(N(E203)=0,"",E203*$B$4)</f>
        <v/>
      </c>
      <c r="G203" s="11"/>
      <c r="H203" s="10"/>
    </row>
    <row r="204" customFormat="false" ht="15" hidden="false" customHeight="false" outlineLevel="0" collapsed="false">
      <c r="A204" s="9"/>
      <c r="B204" s="10"/>
      <c r="C204" s="11"/>
      <c r="D204" s="12" t="str">
        <f aca="false">IF(N(C204)=0,"",C204*$B$3)</f>
        <v/>
      </c>
      <c r="E204" s="10"/>
      <c r="F204" s="12" t="str">
        <f aca="false">IF(N(E204)=0,"",E204*$B$4)</f>
        <v/>
      </c>
      <c r="G204" s="11"/>
      <c r="H204" s="10"/>
    </row>
    <row r="205" customFormat="false" ht="15" hidden="false" customHeight="false" outlineLevel="0" collapsed="false">
      <c r="A205" s="9"/>
      <c r="B205" s="10"/>
      <c r="C205" s="11"/>
      <c r="D205" s="12" t="str">
        <f aca="false">IF(N(C205)=0,"",C205*$B$3)</f>
        <v/>
      </c>
      <c r="E205" s="10"/>
      <c r="F205" s="12" t="str">
        <f aca="false">IF(N(E205)=0,"",E205*$B$4)</f>
        <v/>
      </c>
      <c r="G205" s="11"/>
      <c r="H205" s="10"/>
    </row>
    <row r="206" customFormat="false" ht="15" hidden="false" customHeight="false" outlineLevel="0" collapsed="false">
      <c r="A206" s="9"/>
      <c r="B206" s="10"/>
      <c r="C206" s="11"/>
      <c r="D206" s="12" t="str">
        <f aca="false">IF(N(C206)=0,"",C206*$B$3)</f>
        <v/>
      </c>
      <c r="E206" s="10"/>
      <c r="F206" s="12" t="str">
        <f aca="false">IF(N(E206)=0,"",E206*$B$4)</f>
        <v/>
      </c>
      <c r="G206" s="11"/>
      <c r="H20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2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29</v>
      </c>
    </row>
    <row r="2" customFormat="false" ht="15" hidden="false" customHeight="false" outlineLevel="0" collapsed="false">
      <c r="A2" s="13" t="s">
        <v>30</v>
      </c>
    </row>
    <row r="3" customFormat="false" ht="15" hidden="false" customHeight="false" outlineLevel="0" collapsed="false">
      <c r="A3" s="4" t="s">
        <v>31</v>
      </c>
      <c r="B3" s="14" t="n">
        <v>2026</v>
      </c>
    </row>
    <row r="5" customFormat="false" ht="26.85" hidden="false" customHeight="false" outlineLevel="0" collapsed="false">
      <c r="A5" s="7" t="s">
        <v>32</v>
      </c>
      <c r="B5" s="7" t="s">
        <v>33</v>
      </c>
      <c r="C5" s="7" t="s">
        <v>34</v>
      </c>
      <c r="D5" s="8" t="s">
        <v>35</v>
      </c>
      <c r="E5" s="8" t="s">
        <v>18</v>
      </c>
      <c r="F5" s="8" t="s">
        <v>36</v>
      </c>
      <c r="G5" s="8" t="s">
        <v>37</v>
      </c>
      <c r="H5" s="8" t="s">
        <v>38</v>
      </c>
      <c r="I5" s="7" t="s">
        <v>39</v>
      </c>
    </row>
    <row r="6" customFormat="false" ht="15" hidden="false" customHeight="false" outlineLevel="0" collapsed="false">
      <c r="A6" s="15" t="s">
        <v>40</v>
      </c>
      <c r="B6" s="16" t="n">
        <f aca="false">DATE($B$3,1,1)</f>
        <v>46023</v>
      </c>
      <c r="C6" s="16" t="n">
        <f aca="false">DATE($B$3,3,31)</f>
        <v>46112</v>
      </c>
      <c r="D6" s="12" t="n">
        <f aca="false">SUMIFS(Payouts!$C$7:$C$206,Payouts!$A$7:$A$206,"&gt;="&amp;B6,Payouts!$A$7:$A$206,"&lt;="&amp;C6)</f>
        <v>0</v>
      </c>
      <c r="E6" s="12" t="n">
        <f aca="false">SUMIFS(Payouts!$D$7:$D$206,Payouts!$A$7:$A$206,"&gt;="&amp;B6,Payouts!$A$7:$A$206,"&lt;="&amp;C6)</f>
        <v>0</v>
      </c>
      <c r="F6" s="12" t="n">
        <f aca="false">SUMIFS(Payouts!$F$7:$F$206,Payouts!$A$7:$A$206,"&gt;="&amp;B6,Payouts!$A$7:$A$206,"&lt;="&amp;C6)+SUMIFS(Payouts!$G$7:$G$206,Payouts!$A$7:$A$206,"&gt;="&amp;B6,Payouts!$A$7:$A$206,"&lt;="&amp;C6)</f>
        <v>0</v>
      </c>
      <c r="G6" s="12" t="n">
        <f aca="false">MAX(0,D6-F6)</f>
        <v>0</v>
      </c>
      <c r="H6" s="12" t="n">
        <f aca="false">G6*0.9235*0.153</f>
        <v>0</v>
      </c>
      <c r="I6" s="15" t="s">
        <v>41</v>
      </c>
    </row>
    <row r="7" customFormat="false" ht="15" hidden="false" customHeight="false" outlineLevel="0" collapsed="false">
      <c r="A7" s="15" t="s">
        <v>42</v>
      </c>
      <c r="B7" s="16" t="n">
        <f aca="false">DATE($B$3,4,1)</f>
        <v>46113</v>
      </c>
      <c r="C7" s="16" t="n">
        <f aca="false">DATE($B$3,5,31)</f>
        <v>46173</v>
      </c>
      <c r="D7" s="12" t="n">
        <f aca="false">SUMIFS(Payouts!$C$7:$C$206,Payouts!$A$7:$A$206,"&gt;="&amp;B7,Payouts!$A$7:$A$206,"&lt;="&amp;C7)</f>
        <v>0</v>
      </c>
      <c r="E7" s="12" t="n">
        <f aca="false">SUMIFS(Payouts!$D$7:$D$206,Payouts!$A$7:$A$206,"&gt;="&amp;B7,Payouts!$A$7:$A$206,"&lt;="&amp;C7)</f>
        <v>0</v>
      </c>
      <c r="F7" s="12" t="n">
        <f aca="false">SUMIFS(Payouts!$F$7:$F$206,Payouts!$A$7:$A$206,"&gt;="&amp;B7,Payouts!$A$7:$A$206,"&lt;="&amp;C7)+SUMIFS(Payouts!$G$7:$G$206,Payouts!$A$7:$A$206,"&gt;="&amp;B7,Payouts!$A$7:$A$206,"&lt;="&amp;C7)</f>
        <v>0</v>
      </c>
      <c r="G7" s="12" t="n">
        <f aca="false">MAX(0,D7-F7)</f>
        <v>0</v>
      </c>
      <c r="H7" s="12" t="n">
        <f aca="false">G7*0.9235*0.153</f>
        <v>0</v>
      </c>
      <c r="I7" s="15" t="s">
        <v>43</v>
      </c>
    </row>
    <row r="8" customFormat="false" ht="15" hidden="false" customHeight="false" outlineLevel="0" collapsed="false">
      <c r="A8" s="15" t="s">
        <v>44</v>
      </c>
      <c r="B8" s="16" t="n">
        <f aca="false">DATE($B$3,6,1)</f>
        <v>46174</v>
      </c>
      <c r="C8" s="16" t="n">
        <f aca="false">DATE($B$3,8,31)</f>
        <v>46265</v>
      </c>
      <c r="D8" s="12" t="n">
        <f aca="false">SUMIFS(Payouts!$C$7:$C$206,Payouts!$A$7:$A$206,"&gt;="&amp;B8,Payouts!$A$7:$A$206,"&lt;="&amp;C8)</f>
        <v>0</v>
      </c>
      <c r="E8" s="12" t="n">
        <f aca="false">SUMIFS(Payouts!$D$7:$D$206,Payouts!$A$7:$A$206,"&gt;="&amp;B8,Payouts!$A$7:$A$206,"&lt;="&amp;C8)</f>
        <v>0</v>
      </c>
      <c r="F8" s="12" t="n">
        <f aca="false">SUMIFS(Payouts!$F$7:$F$206,Payouts!$A$7:$A$206,"&gt;="&amp;B8,Payouts!$A$7:$A$206,"&lt;="&amp;C8)+SUMIFS(Payouts!$G$7:$G$206,Payouts!$A$7:$A$206,"&gt;="&amp;B8,Payouts!$A$7:$A$206,"&lt;="&amp;C8)</f>
        <v>0</v>
      </c>
      <c r="G8" s="12" t="n">
        <f aca="false">MAX(0,D8-F8)</f>
        <v>0</v>
      </c>
      <c r="H8" s="12" t="n">
        <f aca="false">G8*0.9235*0.153</f>
        <v>0</v>
      </c>
      <c r="I8" s="15" t="s">
        <v>45</v>
      </c>
    </row>
    <row r="9" customFormat="false" ht="15" hidden="false" customHeight="false" outlineLevel="0" collapsed="false">
      <c r="A9" s="15" t="s">
        <v>46</v>
      </c>
      <c r="B9" s="16" t="n">
        <f aca="false">DATE($B$3,9,1)</f>
        <v>46266</v>
      </c>
      <c r="C9" s="16" t="n">
        <f aca="false">DATE($B$3,12,31)</f>
        <v>46387</v>
      </c>
      <c r="D9" s="12" t="n">
        <f aca="false">SUMIFS(Payouts!$C$7:$C$206,Payouts!$A$7:$A$206,"&gt;="&amp;B9,Payouts!$A$7:$A$206,"&lt;="&amp;C9)</f>
        <v>3900</v>
      </c>
      <c r="E9" s="12" t="n">
        <f aca="false">SUMIFS(Payouts!$D$7:$D$206,Payouts!$A$7:$A$206,"&gt;="&amp;B9,Payouts!$A$7:$A$206,"&lt;="&amp;C9)</f>
        <v>975</v>
      </c>
      <c r="F9" s="12" t="n">
        <f aca="false">SUMIFS(Payouts!$F$7:$F$206,Payouts!$A$7:$A$206,"&gt;="&amp;B9,Payouts!$A$7:$A$206,"&lt;="&amp;C9)+SUMIFS(Payouts!$G$7:$G$206,Payouts!$A$7:$A$206,"&gt;="&amp;B9,Payouts!$A$7:$A$206,"&lt;="&amp;C9)</f>
        <v>1000</v>
      </c>
      <c r="G9" s="12" t="n">
        <f aca="false">MAX(0,D9-F9)</f>
        <v>2900</v>
      </c>
      <c r="H9" s="12" t="n">
        <f aca="false">G9*0.9235*0.153</f>
        <v>409.75695</v>
      </c>
      <c r="I9" s="15" t="s">
        <v>47</v>
      </c>
    </row>
    <row r="10" customFormat="false" ht="15" hidden="false" customHeight="false" outlineLevel="0" collapsed="false">
      <c r="A10" s="17" t="s">
        <v>48</v>
      </c>
      <c r="B10" s="18"/>
      <c r="C10" s="18"/>
      <c r="D10" s="19" t="n">
        <f aca="false">SUM(D6:D9)</f>
        <v>3900</v>
      </c>
      <c r="E10" s="19" t="n">
        <f aca="false">SUM(E6:E9)</f>
        <v>975</v>
      </c>
      <c r="F10" s="19" t="n">
        <f aca="false">SUM(F6:F9)</f>
        <v>1000</v>
      </c>
      <c r="G10" s="19" t="n">
        <f aca="false">SUM(G6:G9)</f>
        <v>2900</v>
      </c>
      <c r="H10" s="19" t="n">
        <f aca="false">IF(G10*0.9235&lt;400,0,G10*0.9235*0.153)</f>
        <v>409.75695</v>
      </c>
      <c r="I10" s="18"/>
    </row>
    <row r="12" customFormat="false" ht="15" hidden="false" customHeight="false" outlineLevel="0" collapsed="false">
      <c r="A12" s="1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