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rt here" sheetId="1" state="visible" r:id="rId3"/>
    <sheet name="Setup" sheetId="2" state="visible" r:id="rId4"/>
    <sheet name="Paychec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<sst xmlns="http://schemas.openxmlformats.org/spreadsheetml/2006/main" count="34" uniqueCount="34">
  <si>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Biweekly paycheck budget</t>
  </si>
  <si>
    <t xml:space="preserve">How to use it</t>
  </si>
  <si>
    <t xml:space="preserve">1. On the Setup tab, type your take-home pay per paycheck and your first payday.</t>
  </si>
  <si>
    <t xml:space="preserve">2. List your bills with the day of the month each one is due (use 1 to 28).</t>
  </si>
  <si>
    <t xml:space="preserve">3. The Paychecks tab shows, for each of the next 26 paydays, which bills it has to cover and what is left.</t>
  </si>
  <si>
    <t xml:space="preserve">4. A negative "Left after bills" means that paycheck is too tight: move a bill's due date or set money aside from the paycheck before.</t>
  </si>
  <si>
    <t xml:space="preserve">5. Two months a year have three paydays. They are marked so you can plan what the extra paycheck does.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</si>
  <si>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</si>
  <si>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</si>
  <si>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https://guidelark.com/blog/biweekly-budget-template/</t>
  </si>
  <si>
    <t xml:space="preserve">Free to use and share. General information, not financial advice.</t>
  </si>
  <si>
    <t xml:space="preserve">Setup</t>
  </si>
  <si>
    <t xml:space="preserve">Take-home pay per paycheck</t>
  </si>
  <si>
    <t xml:space="preserve">First payday</t>
  </si>
  <si>
    <t xml:space="preserve">Any recent or upcoming payday.</t>
  </si>
  <si>
    <t xml:space="preserve">Bill</t>
  </si>
  <si>
    <t xml:space="preserve">Amount</t>
  </si>
  <si>
    <t xml:space="preserve">Due day of month</t>
  </si>
  <si>
    <t xml:space="preserve">Rent</t>
  </si>
  <si>
    <t xml:space="preserve">Utilities</t>
  </si>
  <si>
    <t xml:space="preserve">Phone</t>
  </si>
  <si>
    <t xml:space="preserve">Internet</t>
  </si>
  <si>
    <t xml:space="preserve">Car insurance</t>
  </si>
  <si>
    <t xml:space="preserve">Student loan</t>
  </si>
  <si>
    <t xml:space="preserve">Monthly bills</t>
  </si>
  <si>
    <t xml:space="preserve">Your next 26 paychecks</t>
  </si>
  <si>
    <t xml:space="preserve">#</t>
  </si>
  <si>
    <t xml:space="preserve">Payday</t>
  </si>
  <si>
    <t xml:space="preserve">Next payday</t>
  </si>
  <si>
    <t xml:space="preserve">Bills due before next payday</t>
  </si>
  <si>
    <t xml:space="preserve">Left after bills</t>
  </si>
  <si>
    <t xml:space="preserve">Note</t>
  </si>
  <si>
    <t xml:space="preserve">Paychecks with bills left uncovered</t>
  </si>
  <si>
    <t xml:space="preserve">Yearly take-home (26 paychecks)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</si>
</sst>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63D2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C63D2F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11</v>
      </c>
    </row>
    <row r="3" customFormat="false" ht="15" hidden="false" customHeight="false" outlineLevel="0" collapsed="false">
      <c r="A3" s="4" t="s">
        <v>12</v>
      </c>
      <c r="B3" s="5" t="n">
        <v>850</v>
      </c>
    </row>
    <row r="4" customFormat="false" ht="15" hidden="false" customHeight="false" outlineLevel="0" collapsed="false">
      <c r="A4" s="4" t="s">
        <v>13</v>
      </c>
      <c r="B4" s="6" t="n">
        <v>46297</v>
      </c>
      <c r="C4" s="7" t="s">
        <v>14</v>
      </c>
    </row>
    <row r="6" customFormat="false" ht="26.85" hidden="false" customHeight="false" outlineLevel="0" collapsed="false">
      <c r="A6" s="8" t="s">
        <v>15</v>
      </c>
      <c r="B6" s="9" t="s">
        <v>16</v>
      </c>
      <c r="C6" s="9" t="s">
        <v>17</v>
      </c>
    </row>
    <row r="7" customFormat="false" ht="15" hidden="false" customHeight="false" outlineLevel="0" collapsed="false">
      <c r="A7" s="10" t="s">
        <v>18</v>
      </c>
      <c r="B7" s="11" t="n">
        <v>750</v>
      </c>
      <c r="C7" s="10" t="n">
        <v>1</v>
      </c>
    </row>
    <row r="8" customFormat="false" ht="15" hidden="false" customHeight="false" outlineLevel="0" collapsed="false">
      <c r="A8" s="10" t="s">
        <v>19</v>
      </c>
      <c r="B8" s="11" t="n">
        <v>70</v>
      </c>
      <c r="C8" s="10" t="n">
        <v>8</v>
      </c>
    </row>
    <row r="9" customFormat="false" ht="15" hidden="false" customHeight="false" outlineLevel="0" collapsed="false">
      <c r="A9" s="10" t="s">
        <v>20</v>
      </c>
      <c r="B9" s="11" t="n">
        <v>40</v>
      </c>
      <c r="C9" s="10" t="n">
        <v>12</v>
      </c>
    </row>
    <row r="10" customFormat="false" ht="15" hidden="false" customHeight="false" outlineLevel="0" collapsed="false">
      <c r="A10" s="10" t="s">
        <v>21</v>
      </c>
      <c r="B10" s="11" t="n">
        <v>45</v>
      </c>
      <c r="C10" s="10" t="n">
        <v>18</v>
      </c>
    </row>
    <row r="11" customFormat="false" ht="15" hidden="false" customHeight="false" outlineLevel="0" collapsed="false">
      <c r="A11" s="10" t="s">
        <v>22</v>
      </c>
      <c r="B11" s="11" t="n">
        <v>95</v>
      </c>
      <c r="C11" s="10" t="n">
        <v>20</v>
      </c>
    </row>
    <row r="12" customFormat="false" ht="15" hidden="false" customHeight="false" outlineLevel="0" collapsed="false">
      <c r="A12" s="10" t="s">
        <v>23</v>
      </c>
      <c r="B12" s="11" t="n">
        <v>60</v>
      </c>
      <c r="C12" s="10" t="n">
        <v>25</v>
      </c>
    </row>
    <row r="13" customFormat="false" ht="15" hidden="false" customHeight="false" outlineLevel="0" collapsed="false">
      <c r="A13" s="10"/>
      <c r="B13" s="11"/>
      <c r="C13" s="10"/>
    </row>
    <row r="14" customFormat="false" ht="15" hidden="false" customHeight="false" outlineLevel="0" collapsed="false">
      <c r="A14" s="10"/>
      <c r="B14" s="11"/>
      <c r="C14" s="10"/>
    </row>
    <row r="15" customFormat="false" ht="15" hidden="false" customHeight="false" outlineLevel="0" collapsed="false">
      <c r="A15" s="10"/>
      <c r="B15" s="11"/>
      <c r="C15" s="10"/>
    </row>
    <row r="16" customFormat="false" ht="15" hidden="false" customHeight="false" outlineLevel="0" collapsed="false">
      <c r="A16" s="10"/>
      <c r="B16" s="11"/>
      <c r="C16" s="10"/>
    </row>
    <row r="17" customFormat="false" ht="15" hidden="false" customHeight="false" outlineLevel="0" collapsed="false">
      <c r="A17" s="10"/>
      <c r="B17" s="11"/>
      <c r="C17" s="10"/>
    </row>
    <row r="18" customFormat="false" ht="15" hidden="false" customHeight="false" outlineLevel="0" collapsed="false">
      <c r="A18" s="10"/>
      <c r="B18" s="11"/>
      <c r="C18" s="10"/>
    </row>
    <row r="19" customFormat="false" ht="15" hidden="false" customHeight="false" outlineLevel="0" collapsed="false">
      <c r="A19" s="10"/>
      <c r="B19" s="11"/>
      <c r="C19" s="10"/>
    </row>
    <row r="20" customFormat="false" ht="15" hidden="false" customHeight="false" outlineLevel="0" collapsed="false">
      <c r="A20" s="10"/>
      <c r="B20" s="11"/>
      <c r="C20" s="10"/>
    </row>
    <row r="21" customFormat="false" ht="15" hidden="false" customHeight="false" outlineLevel="0" collapsed="false">
      <c r="A21" s="10"/>
      <c r="B21" s="11"/>
      <c r="C21" s="10"/>
    </row>
    <row r="22" customFormat="false" ht="15" hidden="false" customHeight="false" outlineLevel="0" collapsed="false">
      <c r="A22" s="12" t="s">
        <v>24</v>
      </c>
      <c r="B22" s="13" t="n">
        <f aca="false">SUM(B7:B21)</f>
        <v>1060</v>
      </c>
      <c r="C22" s="14"/>
    </row>
  </sheetData>
  <dataValidations count="1">
    <dataValidation allowBlank="false" error="Use a day from 1 to 28." errorStyle="stop" operator="between" showDropDown="false" showErrorMessage="true" showInputMessage="false" sqref="C7:C21" type="whole">
      <formula1>1</formula1>
      <formula2>28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25</v>
      </c>
    </row>
    <row r="4" customFormat="false" ht="30" hidden="false" customHeight="true" outlineLevel="0" collapsed="false">
      <c r="A4" s="9" t="s">
        <v>26</v>
      </c>
      <c r="B4" s="8" t="s">
        <v>27</v>
      </c>
      <c r="C4" s="8" t="s">
        <v>28</v>
      </c>
      <c r="D4" s="9" t="s">
        <v>29</v>
      </c>
      <c r="E4" s="9" t="s">
        <v>30</v>
      </c>
      <c r="F4" s="8" t="s">
        <v>31</v>
      </c>
    </row>
    <row r="5" customFormat="false" ht="15" hidden="false" customHeight="false" outlineLevel="0" collapsed="false">
      <c r="A5" s="15" t="n">
        <v>1</v>
      </c>
      <c r="B5" s="16" t="n">
        <f aca="false">Setup!$B$4+14*(A5-1)</f>
        <v>46297</v>
      </c>
      <c r="C5" s="16" t="n">
        <f aca="false">B5+14</f>
        <v>46311</v>
      </c>
      <c r="D5" s="17" t="n">
        <f aca="false">SUMPRODUCT(Setup!$B$7:$B$21*(Setup!$C$7:$C$21&gt;0)*(((DATE(YEAR(B5),MONTH(B5),Setup!$C$7:$C$21)&gt;=B5)*(DATE(YEAR(B5),MONTH(B5),Setup!$C$7:$C$21)&lt;C5))+((DATE(YEAR(B5),MONTH(B5)+1,Setup!$C$7:$C$21)&gt;=B5)*(DATE(YEAR(B5),MONTH(B5)+1,Setup!$C$7:$C$21)&lt;C5))))</f>
        <v>110</v>
      </c>
      <c r="E5" s="17" t="n">
        <f aca="false">Setup!$B$3-D5</f>
        <v>740</v>
      </c>
      <c r="F5" s="15" t="str">
        <f aca="false">IF(COUNTIFS($B$5:$B$30,"&gt;="&amp;DATE(YEAR(B5),MONTH(B5),1),$B$5:$B$30,"&lt;"&amp;EDATE(DATE(YEAR(B5),MONTH(B5),1),1))=3,"3 paydays this month","")</f>
        <v>3 paydays this month</v>
      </c>
    </row>
    <row r="6" customFormat="false" ht="15" hidden="false" customHeight="false" outlineLevel="0" collapsed="false">
      <c r="A6" s="15" t="n">
        <v>2</v>
      </c>
      <c r="B6" s="16" t="n">
        <f aca="false">Setup!$B$4+14*(A6-1)</f>
        <v>46311</v>
      </c>
      <c r="C6" s="16" t="n">
        <f aca="false">B6+14</f>
        <v>46325</v>
      </c>
      <c r="D6" s="17" t="n">
        <f aca="false">SUMPRODUCT(Setup!$B$7:$B$21*(Setup!$C$7:$C$21&gt;0)*(((DATE(YEAR(B6),MONTH(B6),Setup!$C$7:$C$21)&gt;=B6)*(DATE(YEAR(B6),MONTH(B6),Setup!$C$7:$C$21)&lt;C6))+((DATE(YEAR(B6),MONTH(B6)+1,Setup!$C$7:$C$21)&gt;=B6)*(DATE(YEAR(B6),MONTH(B6)+1,Setup!$C$7:$C$21)&lt;C6))))</f>
        <v>200</v>
      </c>
      <c r="E6" s="17" t="n">
        <f aca="false">Setup!$B$3-D6</f>
        <v>650</v>
      </c>
      <c r="F6" s="15" t="str">
        <f aca="false">IF(COUNTIFS($B$5:$B$30,"&gt;="&amp;DATE(YEAR(B6),MONTH(B6),1),$B$5:$B$30,"&lt;"&amp;EDATE(DATE(YEAR(B6),MONTH(B6),1),1))=3,"3 paydays this month","")</f>
        <v>3 paydays this month</v>
      </c>
    </row>
    <row r="7" customFormat="false" ht="15" hidden="false" customHeight="false" outlineLevel="0" collapsed="false">
      <c r="A7" s="15" t="n">
        <v>3</v>
      </c>
      <c r="B7" s="16" t="n">
        <f aca="false">Setup!$B$4+14*(A7-1)</f>
        <v>46325</v>
      </c>
      <c r="C7" s="16" t="n">
        <f aca="false">B7+14</f>
        <v>46339</v>
      </c>
      <c r="D7" s="17" t="n">
        <f aca="false">SUMPRODUCT(Setup!$B$7:$B$21*(Setup!$C$7:$C$21&gt;0)*(((DATE(YEAR(B7),MONTH(B7),Setup!$C$7:$C$21)&gt;=B7)*(DATE(YEAR(B7),MONTH(B7),Setup!$C$7:$C$21)&lt;C7))+((DATE(YEAR(B7),MONTH(B7)+1,Setup!$C$7:$C$21)&gt;=B7)*(DATE(YEAR(B7),MONTH(B7)+1,Setup!$C$7:$C$21)&lt;C7))))</f>
        <v>860</v>
      </c>
      <c r="E7" s="17" t="n">
        <f aca="false">Setup!$B$3-D7</f>
        <v>-10</v>
      </c>
      <c r="F7" s="15" t="str">
        <f aca="false">IF(COUNTIFS($B$5:$B$30,"&gt;="&amp;DATE(YEAR(B7),MONTH(B7),1),$B$5:$B$30,"&lt;"&amp;EDATE(DATE(YEAR(B7),MONTH(B7),1),1))=3,"3 paydays this month","")</f>
        <v>3 paydays this month</v>
      </c>
    </row>
    <row r="8" customFormat="false" ht="15" hidden="false" customHeight="false" outlineLevel="0" collapsed="false">
      <c r="A8" s="15" t="n">
        <v>4</v>
      </c>
      <c r="B8" s="16" t="n">
        <f aca="false">Setup!$B$4+14*(A8-1)</f>
        <v>46339</v>
      </c>
      <c r="C8" s="16" t="n">
        <f aca="false">B8+14</f>
        <v>46353</v>
      </c>
      <c r="D8" s="17" t="n">
        <f aca="false">SUMPRODUCT(Setup!$B$7:$B$21*(Setup!$C$7:$C$21&gt;0)*(((DATE(YEAR(B8),MONTH(B8),Setup!$C$7:$C$21)&gt;=B8)*(DATE(YEAR(B8),MONTH(B8),Setup!$C$7:$C$21)&lt;C8))+((DATE(YEAR(B8),MONTH(B8)+1,Setup!$C$7:$C$21)&gt;=B8)*(DATE(YEAR(B8),MONTH(B8)+1,Setup!$C$7:$C$21)&lt;C8))))</f>
        <v>200</v>
      </c>
      <c r="E8" s="17" t="n">
        <f aca="false">Setup!$B$3-D8</f>
        <v>650</v>
      </c>
      <c r="F8" s="15" t="str">
        <f aca="false">IF(COUNTIFS($B$5:$B$30,"&gt;="&amp;DATE(YEAR(B8),MONTH(B8),1),$B$5:$B$30,"&lt;"&amp;EDATE(DATE(YEAR(B8),MONTH(B8),1),1))=3,"3 paydays this month","")</f>
        <v/>
      </c>
    </row>
    <row r="9" customFormat="false" ht="15" hidden="false" customHeight="false" outlineLevel="0" collapsed="false">
      <c r="A9" s="15" t="n">
        <v>5</v>
      </c>
      <c r="B9" s="16" t="n">
        <f aca="false">Setup!$B$4+14*(A9-1)</f>
        <v>46353</v>
      </c>
      <c r="C9" s="16" t="n">
        <f aca="false">B9+14</f>
        <v>46367</v>
      </c>
      <c r="D9" s="17" t="n">
        <f aca="false">SUMPRODUCT(Setup!$B$7:$B$21*(Setup!$C$7:$C$21&gt;0)*(((DATE(YEAR(B9),MONTH(B9),Setup!$C$7:$C$21)&gt;=B9)*(DATE(YEAR(B9),MONTH(B9),Setup!$C$7:$C$21)&lt;C9))+((DATE(YEAR(B9),MONTH(B9)+1,Setup!$C$7:$C$21)&gt;=B9)*(DATE(YEAR(B9),MONTH(B9)+1,Setup!$C$7:$C$21)&lt;C9))))</f>
        <v>820</v>
      </c>
      <c r="E9" s="17" t="n">
        <f aca="false">Setup!$B$3-D9</f>
        <v>30</v>
      </c>
      <c r="F9" s="15" t="str">
        <f aca="false">IF(COUNTIFS($B$5:$B$30,"&gt;="&amp;DATE(YEAR(B9),MONTH(B9),1),$B$5:$B$30,"&lt;"&amp;EDATE(DATE(YEAR(B9),MONTH(B9),1),1))=3,"3 paydays this month","")</f>
        <v/>
      </c>
    </row>
    <row r="10" customFormat="false" ht="15" hidden="false" customHeight="false" outlineLevel="0" collapsed="false">
      <c r="A10" s="15" t="n">
        <v>6</v>
      </c>
      <c r="B10" s="16" t="n">
        <f aca="false">Setup!$B$4+14*(A10-1)</f>
        <v>46367</v>
      </c>
      <c r="C10" s="16" t="n">
        <f aca="false">B10+14</f>
        <v>46381</v>
      </c>
      <c r="D10" s="17" t="n">
        <f aca="false">SUMPRODUCT(Setup!$B$7:$B$21*(Setup!$C$7:$C$21&gt;0)*(((DATE(YEAR(B10),MONTH(B10),Setup!$C$7:$C$21)&gt;=B10)*(DATE(YEAR(B10),MONTH(B10),Setup!$C$7:$C$21)&lt;C10))+((DATE(YEAR(B10),MONTH(B10)+1,Setup!$C$7:$C$21)&gt;=B10)*(DATE(YEAR(B10),MONTH(B10)+1,Setup!$C$7:$C$21)&lt;C10))))</f>
        <v>180</v>
      </c>
      <c r="E10" s="17" t="n">
        <f aca="false">Setup!$B$3-D10</f>
        <v>670</v>
      </c>
      <c r="F10" s="15" t="str">
        <f aca="false">IF(COUNTIFS($B$5:$B$30,"&gt;="&amp;DATE(YEAR(B10),MONTH(B10),1),$B$5:$B$30,"&lt;"&amp;EDATE(DATE(YEAR(B10),MONTH(B10),1),1))=3,"3 paydays this month","")</f>
        <v/>
      </c>
    </row>
    <row r="11" customFormat="false" ht="15" hidden="false" customHeight="false" outlineLevel="0" collapsed="false">
      <c r="A11" s="15" t="n">
        <v>7</v>
      </c>
      <c r="B11" s="16" t="n">
        <f aca="false">Setup!$B$4+14*(A11-1)</f>
        <v>46381</v>
      </c>
      <c r="C11" s="16" t="n">
        <f aca="false">B11+14</f>
        <v>46395</v>
      </c>
      <c r="D11" s="17" t="n">
        <f aca="false">SUMPRODUCT(Setup!$B$7:$B$21*(Setup!$C$7:$C$21&gt;0)*(((DATE(YEAR(B11),MONTH(B11),Setup!$C$7:$C$21)&gt;=B11)*(DATE(YEAR(B11),MONTH(B11),Setup!$C$7:$C$21)&lt;C11))+((DATE(YEAR(B11),MONTH(B11)+1,Setup!$C$7:$C$21)&gt;=B11)*(DATE(YEAR(B11),MONTH(B11)+1,Setup!$C$7:$C$21)&lt;C11))))</f>
        <v>810</v>
      </c>
      <c r="E11" s="17" t="n">
        <f aca="false">Setup!$B$3-D11</f>
        <v>40</v>
      </c>
      <c r="F11" s="15" t="str">
        <f aca="false">IF(COUNTIFS($B$5:$B$30,"&gt;="&amp;DATE(YEAR(B11),MONTH(B11),1),$B$5:$B$30,"&lt;"&amp;EDATE(DATE(YEAR(B11),MONTH(B11),1),1))=3,"3 paydays this month","")</f>
        <v/>
      </c>
    </row>
    <row r="12" customFormat="false" ht="15" hidden="false" customHeight="false" outlineLevel="0" collapsed="false">
      <c r="A12" s="15" t="n">
        <v>8</v>
      </c>
      <c r="B12" s="16" t="n">
        <f aca="false">Setup!$B$4+14*(A12-1)</f>
        <v>46395</v>
      </c>
      <c r="C12" s="16" t="n">
        <f aca="false">B12+14</f>
        <v>46409</v>
      </c>
      <c r="D12" s="17" t="n">
        <f aca="false">SUMPRODUCT(Setup!$B$7:$B$21*(Setup!$C$7:$C$21&gt;0)*(((DATE(YEAR(B12),MONTH(B12),Setup!$C$7:$C$21)&gt;=B12)*(DATE(YEAR(B12),MONTH(B12),Setup!$C$7:$C$21)&lt;C12))+((DATE(YEAR(B12),MONTH(B12)+1,Setup!$C$7:$C$21)&gt;=B12)*(DATE(YEAR(B12),MONTH(B12)+1,Setup!$C$7:$C$21)&lt;C12))))</f>
        <v>250</v>
      </c>
      <c r="E12" s="17" t="n">
        <f aca="false">Setup!$B$3-D12</f>
        <v>600</v>
      </c>
      <c r="F12" s="15" t="str">
        <f aca="false">IF(COUNTIFS($B$5:$B$30,"&gt;="&amp;DATE(YEAR(B12),MONTH(B12),1),$B$5:$B$30,"&lt;"&amp;EDATE(DATE(YEAR(B12),MONTH(B12),1),1))=3,"3 paydays this month","")</f>
        <v/>
      </c>
    </row>
    <row r="13" customFormat="false" ht="15" hidden="false" customHeight="false" outlineLevel="0" collapsed="false">
      <c r="A13" s="15" t="n">
        <v>9</v>
      </c>
      <c r="B13" s="16" t="n">
        <f aca="false">Setup!$B$4+14*(A13-1)</f>
        <v>46409</v>
      </c>
      <c r="C13" s="16" t="n">
        <f aca="false">B13+14</f>
        <v>46423</v>
      </c>
      <c r="D13" s="17" t="n">
        <f aca="false">SUMPRODUCT(Setup!$B$7:$B$21*(Setup!$C$7:$C$21&gt;0)*(((DATE(YEAR(B13),MONTH(B13),Setup!$C$7:$C$21)&gt;=B13)*(DATE(YEAR(B13),MONTH(B13),Setup!$C$7:$C$21)&lt;C13))+((DATE(YEAR(B13),MONTH(B13)+1,Setup!$C$7:$C$21)&gt;=B13)*(DATE(YEAR(B13),MONTH(B13)+1,Setup!$C$7:$C$21)&lt;C13))))</f>
        <v>810</v>
      </c>
      <c r="E13" s="17" t="n">
        <f aca="false">Setup!$B$3-D13</f>
        <v>40</v>
      </c>
      <c r="F13" s="15" t="str">
        <f aca="false">IF(COUNTIFS($B$5:$B$30,"&gt;="&amp;DATE(YEAR(B13),MONTH(B13),1),$B$5:$B$30,"&lt;"&amp;EDATE(DATE(YEAR(B13),MONTH(B13),1),1))=3,"3 paydays this month","")</f>
        <v/>
      </c>
    </row>
    <row r="14" customFormat="false" ht="15" hidden="false" customHeight="false" outlineLevel="0" collapsed="false">
      <c r="A14" s="15" t="n">
        <v>10</v>
      </c>
      <c r="B14" s="16" t="n">
        <f aca="false">Setup!$B$4+14*(A14-1)</f>
        <v>46423</v>
      </c>
      <c r="C14" s="16" t="n">
        <f aca="false">B14+14</f>
        <v>46437</v>
      </c>
      <c r="D14" s="17" t="n">
        <f aca="false">SUMPRODUCT(Setup!$B$7:$B$21*(Setup!$C$7:$C$21&gt;0)*(((DATE(YEAR(B14),MONTH(B14),Setup!$C$7:$C$21)&gt;=B14)*(DATE(YEAR(B14),MONTH(B14),Setup!$C$7:$C$21)&lt;C14))+((DATE(YEAR(B14),MONTH(B14)+1,Setup!$C$7:$C$21)&gt;=B14)*(DATE(YEAR(B14),MONTH(B14)+1,Setup!$C$7:$C$21)&lt;C14))))</f>
        <v>155</v>
      </c>
      <c r="E14" s="17" t="n">
        <f aca="false">Setup!$B$3-D14</f>
        <v>695</v>
      </c>
      <c r="F14" s="15" t="str">
        <f aca="false">IF(COUNTIFS($B$5:$B$30,"&gt;="&amp;DATE(YEAR(B14),MONTH(B14),1),$B$5:$B$30,"&lt;"&amp;EDATE(DATE(YEAR(B14),MONTH(B14),1),1))=3,"3 paydays this month","")</f>
        <v/>
      </c>
    </row>
    <row r="15" customFormat="false" ht="15" hidden="false" customHeight="false" outlineLevel="0" collapsed="false">
      <c r="A15" s="15" t="n">
        <v>11</v>
      </c>
      <c r="B15" s="16" t="n">
        <f aca="false">Setup!$B$4+14*(A15-1)</f>
        <v>46437</v>
      </c>
      <c r="C15" s="16" t="n">
        <f aca="false">B15+14</f>
        <v>46451</v>
      </c>
      <c r="D15" s="17" t="n">
        <f aca="false">SUMPRODUCT(Setup!$B$7:$B$21*(Setup!$C$7:$C$21&gt;0)*(((DATE(YEAR(B15),MONTH(B15),Setup!$C$7:$C$21)&gt;=B15)*(DATE(YEAR(B15),MONTH(B15),Setup!$C$7:$C$21)&lt;C15))+((DATE(YEAR(B15),MONTH(B15)+1,Setup!$C$7:$C$21)&gt;=B15)*(DATE(YEAR(B15),MONTH(B15)+1,Setup!$C$7:$C$21)&lt;C15))))</f>
        <v>905</v>
      </c>
      <c r="E15" s="17" t="n">
        <f aca="false">Setup!$B$3-D15</f>
        <v>-55</v>
      </c>
      <c r="F15" s="15" t="str">
        <f aca="false">IF(COUNTIFS($B$5:$B$30,"&gt;="&amp;DATE(YEAR(B15),MONTH(B15),1),$B$5:$B$30,"&lt;"&amp;EDATE(DATE(YEAR(B15),MONTH(B15),1),1))=3,"3 paydays this month","")</f>
        <v/>
      </c>
    </row>
    <row r="16" customFormat="false" ht="15" hidden="false" customHeight="false" outlineLevel="0" collapsed="false">
      <c r="A16" s="15" t="n">
        <v>12</v>
      </c>
      <c r="B16" s="16" t="n">
        <f aca="false">Setup!$B$4+14*(A16-1)</f>
        <v>46451</v>
      </c>
      <c r="C16" s="16" t="n">
        <f aca="false">B16+14</f>
        <v>46465</v>
      </c>
      <c r="D16" s="17" t="n">
        <f aca="false">SUMPRODUCT(Setup!$B$7:$B$21*(Setup!$C$7:$C$21&gt;0)*(((DATE(YEAR(B16),MONTH(B16),Setup!$C$7:$C$21)&gt;=B16)*(DATE(YEAR(B16),MONTH(B16),Setup!$C$7:$C$21)&lt;C16))+((DATE(YEAR(B16),MONTH(B16)+1,Setup!$C$7:$C$21)&gt;=B16)*(DATE(YEAR(B16),MONTH(B16)+1,Setup!$C$7:$C$21)&lt;C16))))</f>
        <v>155</v>
      </c>
      <c r="E16" s="17" t="n">
        <f aca="false">Setup!$B$3-D16</f>
        <v>695</v>
      </c>
      <c r="F16" s="15" t="str">
        <f aca="false">IF(COUNTIFS($B$5:$B$30,"&gt;="&amp;DATE(YEAR(B16),MONTH(B16),1),$B$5:$B$30,"&lt;"&amp;EDATE(DATE(YEAR(B16),MONTH(B16),1),1))=3,"3 paydays this month","")</f>
        <v/>
      </c>
    </row>
    <row r="17" customFormat="false" ht="15" hidden="false" customHeight="false" outlineLevel="0" collapsed="false">
      <c r="A17" s="15" t="n">
        <v>13</v>
      </c>
      <c r="B17" s="16" t="n">
        <f aca="false">Setup!$B$4+14*(A17-1)</f>
        <v>46465</v>
      </c>
      <c r="C17" s="16" t="n">
        <f aca="false">B17+14</f>
        <v>46479</v>
      </c>
      <c r="D17" s="17" t="n">
        <f aca="false">SUMPRODUCT(Setup!$B$7:$B$21*(Setup!$C$7:$C$21&gt;0)*(((DATE(YEAR(B17),MONTH(B17),Setup!$C$7:$C$21)&gt;=B17)*(DATE(YEAR(B17),MONTH(B17),Setup!$C$7:$C$21)&lt;C17))+((DATE(YEAR(B17),MONTH(B17)+1,Setup!$C$7:$C$21)&gt;=B17)*(DATE(YEAR(B17),MONTH(B17)+1,Setup!$C$7:$C$21)&lt;C17))))</f>
        <v>905</v>
      </c>
      <c r="E17" s="17" t="n">
        <f aca="false">Setup!$B$3-D17</f>
        <v>-55</v>
      </c>
      <c r="F17" s="15" t="str">
        <f aca="false">IF(COUNTIFS($B$5:$B$30,"&gt;="&amp;DATE(YEAR(B17),MONTH(B17),1),$B$5:$B$30,"&lt;"&amp;EDATE(DATE(YEAR(B17),MONTH(B17),1),1))=3,"3 paydays this month","")</f>
        <v/>
      </c>
    </row>
    <row r="18" customFormat="false" ht="15" hidden="false" customHeight="false" outlineLevel="0" collapsed="false">
      <c r="A18" s="15" t="n">
        <v>14</v>
      </c>
      <c r="B18" s="16" t="n">
        <f aca="false">Setup!$B$4+14*(A18-1)</f>
        <v>46479</v>
      </c>
      <c r="C18" s="16" t="n">
        <f aca="false">B18+14</f>
        <v>46493</v>
      </c>
      <c r="D18" s="17" t="n">
        <f aca="false">SUMPRODUCT(Setup!$B$7:$B$21*(Setup!$C$7:$C$21&gt;0)*(((DATE(YEAR(B18),MONTH(B18),Setup!$C$7:$C$21)&gt;=B18)*(DATE(YEAR(B18),MONTH(B18),Setup!$C$7:$C$21)&lt;C18))+((DATE(YEAR(B18),MONTH(B18)+1,Setup!$C$7:$C$21)&gt;=B18)*(DATE(YEAR(B18),MONTH(B18)+1,Setup!$C$7:$C$21)&lt;C18))))</f>
        <v>110</v>
      </c>
      <c r="E18" s="17" t="n">
        <f aca="false">Setup!$B$3-D18</f>
        <v>740</v>
      </c>
      <c r="F18" s="15" t="str">
        <f aca="false">IF(COUNTIFS($B$5:$B$30,"&gt;="&amp;DATE(YEAR(B18),MONTH(B18),1),$B$5:$B$30,"&lt;"&amp;EDATE(DATE(YEAR(B18),MONTH(B18),1),1))=3,"3 paydays this month","")</f>
        <v>3 paydays this month</v>
      </c>
    </row>
    <row r="19" customFormat="false" ht="15" hidden="false" customHeight="false" outlineLevel="0" collapsed="false">
      <c r="A19" s="15" t="n">
        <v>15</v>
      </c>
      <c r="B19" s="16" t="n">
        <f aca="false">Setup!$B$4+14*(A19-1)</f>
        <v>46493</v>
      </c>
      <c r="C19" s="16" t="n">
        <f aca="false">B19+14</f>
        <v>46507</v>
      </c>
      <c r="D19" s="17" t="n">
        <f aca="false">SUMPRODUCT(Setup!$B$7:$B$21*(Setup!$C$7:$C$21&gt;0)*(((DATE(YEAR(B19),MONTH(B19),Setup!$C$7:$C$21)&gt;=B19)*(DATE(YEAR(B19),MONTH(B19),Setup!$C$7:$C$21)&lt;C19))+((DATE(YEAR(B19),MONTH(B19)+1,Setup!$C$7:$C$21)&gt;=B19)*(DATE(YEAR(B19),MONTH(B19)+1,Setup!$C$7:$C$21)&lt;C19))))</f>
        <v>200</v>
      </c>
      <c r="E19" s="17" t="n">
        <f aca="false">Setup!$B$3-D19</f>
        <v>650</v>
      </c>
      <c r="F19" s="15" t="str">
        <f aca="false">IF(COUNTIFS($B$5:$B$30,"&gt;="&amp;DATE(YEAR(B19),MONTH(B19),1),$B$5:$B$30,"&lt;"&amp;EDATE(DATE(YEAR(B19),MONTH(B19),1),1))=3,"3 paydays this month","")</f>
        <v>3 paydays this month</v>
      </c>
    </row>
    <row r="20" customFormat="false" ht="15" hidden="false" customHeight="false" outlineLevel="0" collapsed="false">
      <c r="A20" s="15" t="n">
        <v>16</v>
      </c>
      <c r="B20" s="16" t="n">
        <f aca="false">Setup!$B$4+14*(A20-1)</f>
        <v>46507</v>
      </c>
      <c r="C20" s="16" t="n">
        <f aca="false">B20+14</f>
        <v>46521</v>
      </c>
      <c r="D20" s="17" t="n">
        <f aca="false">SUMPRODUCT(Setup!$B$7:$B$21*(Setup!$C$7:$C$21&gt;0)*(((DATE(YEAR(B20),MONTH(B20),Setup!$C$7:$C$21)&gt;=B20)*(DATE(YEAR(B20),MONTH(B20),Setup!$C$7:$C$21)&lt;C20))+((DATE(YEAR(B20),MONTH(B20)+1,Setup!$C$7:$C$21)&gt;=B20)*(DATE(YEAR(B20),MONTH(B20)+1,Setup!$C$7:$C$21)&lt;C20))))</f>
        <v>860</v>
      </c>
      <c r="E20" s="17" t="n">
        <f aca="false">Setup!$B$3-D20</f>
        <v>-10</v>
      </c>
      <c r="F20" s="15" t="str">
        <f aca="false">IF(COUNTIFS($B$5:$B$30,"&gt;="&amp;DATE(YEAR(B20),MONTH(B20),1),$B$5:$B$30,"&lt;"&amp;EDATE(DATE(YEAR(B20),MONTH(B20),1),1))=3,"3 paydays this month","")</f>
        <v>3 paydays this month</v>
      </c>
    </row>
    <row r="21" customFormat="false" ht="15" hidden="false" customHeight="false" outlineLevel="0" collapsed="false">
      <c r="A21" s="15" t="n">
        <v>17</v>
      </c>
      <c r="B21" s="16" t="n">
        <f aca="false">Setup!$B$4+14*(A21-1)</f>
        <v>46521</v>
      </c>
      <c r="C21" s="16" t="n">
        <f aca="false">B21+14</f>
        <v>46535</v>
      </c>
      <c r="D21" s="17" t="n">
        <f aca="false">SUMPRODUCT(Setup!$B$7:$B$21*(Setup!$C$7:$C$21&gt;0)*(((DATE(YEAR(B21),MONTH(B21),Setup!$C$7:$C$21)&gt;=B21)*(DATE(YEAR(B21),MONTH(B21),Setup!$C$7:$C$21)&lt;C21))+((DATE(YEAR(B21),MONTH(B21)+1,Setup!$C$7:$C$21)&gt;=B21)*(DATE(YEAR(B21),MONTH(B21)+1,Setup!$C$7:$C$21)&lt;C21))))</f>
        <v>200</v>
      </c>
      <c r="E21" s="17" t="n">
        <f aca="false">Setup!$B$3-D21</f>
        <v>650</v>
      </c>
      <c r="F21" s="15" t="str">
        <f aca="false">IF(COUNTIFS($B$5:$B$30,"&gt;="&amp;DATE(YEAR(B21),MONTH(B21),1),$B$5:$B$30,"&lt;"&amp;EDATE(DATE(YEAR(B21),MONTH(B21),1),1))=3,"3 paydays this month","")</f>
        <v/>
      </c>
    </row>
    <row r="22" customFormat="false" ht="15" hidden="false" customHeight="false" outlineLevel="0" collapsed="false">
      <c r="A22" s="15" t="n">
        <v>18</v>
      </c>
      <c r="B22" s="16" t="n">
        <f aca="false">Setup!$B$4+14*(A22-1)</f>
        <v>46535</v>
      </c>
      <c r="C22" s="16" t="n">
        <f aca="false">B22+14</f>
        <v>46549</v>
      </c>
      <c r="D22" s="17" t="n">
        <f aca="false">SUMPRODUCT(Setup!$B$7:$B$21*(Setup!$C$7:$C$21&gt;0)*(((DATE(YEAR(B22),MONTH(B22),Setup!$C$7:$C$21)&gt;=B22)*(DATE(YEAR(B22),MONTH(B22),Setup!$C$7:$C$21)&lt;C22))+((DATE(YEAR(B22),MONTH(B22)+1,Setup!$C$7:$C$21)&gt;=B22)*(DATE(YEAR(B22),MONTH(B22)+1,Setup!$C$7:$C$21)&lt;C22))))</f>
        <v>820</v>
      </c>
      <c r="E22" s="17" t="n">
        <f aca="false">Setup!$B$3-D22</f>
        <v>30</v>
      </c>
      <c r="F22" s="15" t="str">
        <f aca="false">IF(COUNTIFS($B$5:$B$30,"&gt;="&amp;DATE(YEAR(B22),MONTH(B22),1),$B$5:$B$30,"&lt;"&amp;EDATE(DATE(YEAR(B22),MONTH(B22),1),1))=3,"3 paydays this month","")</f>
        <v/>
      </c>
    </row>
    <row r="23" customFormat="false" ht="15" hidden="false" customHeight="false" outlineLevel="0" collapsed="false">
      <c r="A23" s="15" t="n">
        <v>19</v>
      </c>
      <c r="B23" s="16" t="n">
        <f aca="false">Setup!$B$4+14*(A23-1)</f>
        <v>46549</v>
      </c>
      <c r="C23" s="16" t="n">
        <f aca="false">B23+14</f>
        <v>46563</v>
      </c>
      <c r="D23" s="17" t="n">
        <f aca="false">SUMPRODUCT(Setup!$B$7:$B$21*(Setup!$C$7:$C$21&gt;0)*(((DATE(YEAR(B23),MONTH(B23),Setup!$C$7:$C$21)&gt;=B23)*(DATE(YEAR(B23),MONTH(B23),Setup!$C$7:$C$21)&lt;C23))+((DATE(YEAR(B23),MONTH(B23)+1,Setup!$C$7:$C$21)&gt;=B23)*(DATE(YEAR(B23),MONTH(B23)+1,Setup!$C$7:$C$21)&lt;C23))))</f>
        <v>180</v>
      </c>
      <c r="E23" s="17" t="n">
        <f aca="false">Setup!$B$3-D23</f>
        <v>670</v>
      </c>
      <c r="F23" s="15" t="str">
        <f aca="false">IF(COUNTIFS($B$5:$B$30,"&gt;="&amp;DATE(YEAR(B23),MONTH(B23),1),$B$5:$B$30,"&lt;"&amp;EDATE(DATE(YEAR(B23),MONTH(B23),1),1))=3,"3 paydays this month","")</f>
        <v/>
      </c>
    </row>
    <row r="24" customFormat="false" ht="15" hidden="false" customHeight="false" outlineLevel="0" collapsed="false">
      <c r="A24" s="15" t="n">
        <v>20</v>
      </c>
      <c r="B24" s="16" t="n">
        <f aca="false">Setup!$B$4+14*(A24-1)</f>
        <v>46563</v>
      </c>
      <c r="C24" s="16" t="n">
        <f aca="false">B24+14</f>
        <v>46577</v>
      </c>
      <c r="D24" s="17" t="n">
        <f aca="false">SUMPRODUCT(Setup!$B$7:$B$21*(Setup!$C$7:$C$21&gt;0)*(((DATE(YEAR(B24),MONTH(B24),Setup!$C$7:$C$21)&gt;=B24)*(DATE(YEAR(B24),MONTH(B24),Setup!$C$7:$C$21)&lt;C24))+((DATE(YEAR(B24),MONTH(B24)+1,Setup!$C$7:$C$21)&gt;=B24)*(DATE(YEAR(B24),MONTH(B24)+1,Setup!$C$7:$C$21)&lt;C24))))</f>
        <v>880</v>
      </c>
      <c r="E24" s="17" t="n">
        <f aca="false">Setup!$B$3-D24</f>
        <v>-30</v>
      </c>
      <c r="F24" s="15" t="str">
        <f aca="false">IF(COUNTIFS($B$5:$B$30,"&gt;="&amp;DATE(YEAR(B24),MONTH(B24),1),$B$5:$B$30,"&lt;"&amp;EDATE(DATE(YEAR(B24),MONTH(B24),1),1))=3,"3 paydays this month","")</f>
        <v/>
      </c>
    </row>
    <row r="25" customFormat="false" ht="15" hidden="false" customHeight="false" outlineLevel="0" collapsed="false">
      <c r="A25" s="15" t="n">
        <v>21</v>
      </c>
      <c r="B25" s="16" t="n">
        <f aca="false">Setup!$B$4+14*(A25-1)</f>
        <v>46577</v>
      </c>
      <c r="C25" s="16" t="n">
        <f aca="false">B25+14</f>
        <v>46591</v>
      </c>
      <c r="D25" s="17" t="n">
        <f aca="false">SUMPRODUCT(Setup!$B$7:$B$21*(Setup!$C$7:$C$21&gt;0)*(((DATE(YEAR(B25),MONTH(B25),Setup!$C$7:$C$21)&gt;=B25)*(DATE(YEAR(B25),MONTH(B25),Setup!$C$7:$C$21)&lt;C25))+((DATE(YEAR(B25),MONTH(B25)+1,Setup!$C$7:$C$21)&gt;=B25)*(DATE(YEAR(B25),MONTH(B25)+1,Setup!$C$7:$C$21)&lt;C25))))</f>
        <v>180</v>
      </c>
      <c r="E25" s="17" t="n">
        <f aca="false">Setup!$B$3-D25</f>
        <v>670</v>
      </c>
      <c r="F25" s="15" t="str">
        <f aca="false">IF(COUNTIFS($B$5:$B$30,"&gt;="&amp;DATE(YEAR(B25),MONTH(B25),1),$B$5:$B$30,"&lt;"&amp;EDATE(DATE(YEAR(B25),MONTH(B25),1),1))=3,"3 paydays this month","")</f>
        <v/>
      </c>
    </row>
    <row r="26" customFormat="false" ht="15" hidden="false" customHeight="false" outlineLevel="0" collapsed="false">
      <c r="A26" s="15" t="n">
        <v>22</v>
      </c>
      <c r="B26" s="16" t="n">
        <f aca="false">Setup!$B$4+14*(A26-1)</f>
        <v>46591</v>
      </c>
      <c r="C26" s="16" t="n">
        <f aca="false">B26+14</f>
        <v>46605</v>
      </c>
      <c r="D26" s="17" t="n">
        <f aca="false">SUMPRODUCT(Setup!$B$7:$B$21*(Setup!$C$7:$C$21&gt;0)*(((DATE(YEAR(B26),MONTH(B26),Setup!$C$7:$C$21)&gt;=B26)*(DATE(YEAR(B26),MONTH(B26),Setup!$C$7:$C$21)&lt;C26))+((DATE(YEAR(B26),MONTH(B26)+1,Setup!$C$7:$C$21)&gt;=B26)*(DATE(YEAR(B26),MONTH(B26)+1,Setup!$C$7:$C$21)&lt;C26))))</f>
        <v>810</v>
      </c>
      <c r="E26" s="17" t="n">
        <f aca="false">Setup!$B$3-D26</f>
        <v>40</v>
      </c>
      <c r="F26" s="15" t="str">
        <f aca="false">IF(COUNTIFS($B$5:$B$30,"&gt;="&amp;DATE(YEAR(B26),MONTH(B26),1),$B$5:$B$30,"&lt;"&amp;EDATE(DATE(YEAR(B26),MONTH(B26),1),1))=3,"3 paydays this month","")</f>
        <v/>
      </c>
    </row>
    <row r="27" customFormat="false" ht="15" hidden="false" customHeight="false" outlineLevel="0" collapsed="false">
      <c r="A27" s="15" t="n">
        <v>23</v>
      </c>
      <c r="B27" s="16" t="n">
        <f aca="false">Setup!$B$4+14*(A27-1)</f>
        <v>46605</v>
      </c>
      <c r="C27" s="16" t="n">
        <f aca="false">B27+14</f>
        <v>46619</v>
      </c>
      <c r="D27" s="17" t="n">
        <f aca="false">SUMPRODUCT(Setup!$B$7:$B$21*(Setup!$C$7:$C$21&gt;0)*(((DATE(YEAR(B27),MONTH(B27),Setup!$C$7:$C$21)&gt;=B27)*(DATE(YEAR(B27),MONTH(B27),Setup!$C$7:$C$21)&lt;C27))+((DATE(YEAR(B27),MONTH(B27)+1,Setup!$C$7:$C$21)&gt;=B27)*(DATE(YEAR(B27),MONTH(B27)+1,Setup!$C$7:$C$21)&lt;C27))))</f>
        <v>155</v>
      </c>
      <c r="E27" s="17" t="n">
        <f aca="false">Setup!$B$3-D27</f>
        <v>695</v>
      </c>
      <c r="F27" s="15" t="str">
        <f aca="false">IF(COUNTIFS($B$5:$B$30,"&gt;="&amp;DATE(YEAR(B27),MONTH(B27),1),$B$5:$B$30,"&lt;"&amp;EDATE(DATE(YEAR(B27),MONTH(B27),1),1))=3,"3 paydays this month","")</f>
        <v/>
      </c>
    </row>
    <row r="28" customFormat="false" ht="15" hidden="false" customHeight="false" outlineLevel="0" collapsed="false">
      <c r="A28" s="15" t="n">
        <v>24</v>
      </c>
      <c r="B28" s="16" t="n">
        <f aca="false">Setup!$B$4+14*(A28-1)</f>
        <v>46619</v>
      </c>
      <c r="C28" s="16" t="n">
        <f aca="false">B28+14</f>
        <v>46633</v>
      </c>
      <c r="D28" s="17" t="n">
        <f aca="false">SUMPRODUCT(Setup!$B$7:$B$21*(Setup!$C$7:$C$21&gt;0)*(((DATE(YEAR(B28),MONTH(B28),Setup!$C$7:$C$21)&gt;=B28)*(DATE(YEAR(B28),MONTH(B28),Setup!$C$7:$C$21)&lt;C28))+((DATE(YEAR(B28),MONTH(B28)+1,Setup!$C$7:$C$21)&gt;=B28)*(DATE(YEAR(B28),MONTH(B28)+1,Setup!$C$7:$C$21)&lt;C28))))</f>
        <v>905</v>
      </c>
      <c r="E28" s="17" t="n">
        <f aca="false">Setup!$B$3-D28</f>
        <v>-55</v>
      </c>
      <c r="F28" s="15" t="str">
        <f aca="false">IF(COUNTIFS($B$5:$B$30,"&gt;="&amp;DATE(YEAR(B28),MONTH(B28),1),$B$5:$B$30,"&lt;"&amp;EDATE(DATE(YEAR(B28),MONTH(B28),1),1))=3,"3 paydays this month","")</f>
        <v/>
      </c>
    </row>
    <row r="29" customFormat="false" ht="15" hidden="false" customHeight="false" outlineLevel="0" collapsed="false">
      <c r="A29" s="15" t="n">
        <v>25</v>
      </c>
      <c r="B29" s="16" t="n">
        <f aca="false">Setup!$B$4+14*(A29-1)</f>
        <v>46633</v>
      </c>
      <c r="C29" s="16" t="n">
        <f aca="false">B29+14</f>
        <v>46647</v>
      </c>
      <c r="D29" s="17" t="n">
        <f aca="false">SUMPRODUCT(Setup!$B$7:$B$21*(Setup!$C$7:$C$21&gt;0)*(((DATE(YEAR(B29),MONTH(B29),Setup!$C$7:$C$21)&gt;=B29)*(DATE(YEAR(B29),MONTH(B29),Setup!$C$7:$C$21)&lt;C29))+((DATE(YEAR(B29),MONTH(B29)+1,Setup!$C$7:$C$21)&gt;=B29)*(DATE(YEAR(B29),MONTH(B29)+1,Setup!$C$7:$C$21)&lt;C29))))</f>
        <v>110</v>
      </c>
      <c r="E29" s="17" t="n">
        <f aca="false">Setup!$B$3-D29</f>
        <v>740</v>
      </c>
      <c r="F29" s="15" t="str">
        <f aca="false">IF(COUNTIFS($B$5:$B$30,"&gt;="&amp;DATE(YEAR(B29),MONTH(B29),1),$B$5:$B$30,"&lt;"&amp;EDATE(DATE(YEAR(B29),MONTH(B29),1),1))=3,"3 paydays this month","")</f>
        <v/>
      </c>
    </row>
    <row r="30" customFormat="false" ht="15" hidden="false" customHeight="false" outlineLevel="0" collapsed="false">
      <c r="A30" s="15" t="n">
        <v>26</v>
      </c>
      <c r="B30" s="16" t="n">
        <f aca="false">Setup!$B$4+14*(A30-1)</f>
        <v>46647</v>
      </c>
      <c r="C30" s="16" t="n">
        <f aca="false">B30+14</f>
        <v>46661</v>
      </c>
      <c r="D30" s="17" t="n">
        <f aca="false">SUMPRODUCT(Setup!$B$7:$B$21*(Setup!$C$7:$C$21&gt;0)*(((DATE(YEAR(B30),MONTH(B30),Setup!$C$7:$C$21)&gt;=B30)*(DATE(YEAR(B30),MONTH(B30),Setup!$C$7:$C$21)&lt;C30))+((DATE(YEAR(B30),MONTH(B30)+1,Setup!$C$7:$C$21)&gt;=B30)*(DATE(YEAR(B30),MONTH(B30)+1,Setup!$C$7:$C$21)&lt;C30))))</f>
        <v>200</v>
      </c>
      <c r="E30" s="17" t="n">
        <f aca="false">Setup!$B$3-D30</f>
        <v>650</v>
      </c>
      <c r="F30" s="15" t="str">
        <f aca="false">IF(COUNTIFS($B$5:$B$30,"&gt;="&amp;DATE(YEAR(B30),MONTH(B30),1),$B$5:$B$30,"&lt;"&amp;EDATE(DATE(YEAR(B30),MONTH(B30),1),1))=3,"3 paydays this month","")</f>
        <v/>
      </c>
    </row>
    <row r="32" customFormat="false" ht="15" hidden="false" customHeight="false" outlineLevel="0" collapsed="false">
      <c r="A32" s="4" t="s">
        <v>32</v>
      </c>
      <c r="B32" s="4" t="n">
        <f aca="false">COUNTIF(E5:E30,"&lt;0")</f>
        <v>6</v>
      </c>
    </row>
    <row r="33" customFormat="false" ht="15" hidden="false" customHeight="false" outlineLevel="0" collapsed="false">
      <c r="A33" s="4" t="s">
        <v>33</v>
      </c>
      <c r="B33" s="18" t="n">
        <f aca="false">Setup!B3*26</f>
        <v>22100</v>
      </c>
    </row>
  </sheetData>
  <conditionalFormatting sqref="E5:E3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2026-10-13T12:27:59Z</dcterms:created>
  <dc:creator>openpyxl</dc:creator>
  <dc:description/>
  <dc:language>en-US</dc:language>
  <cp:lastModifiedBy/>
  <dcterms:modified xsi:type="dcterms:W3CDTF">2026-10-13T12:27:59Z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