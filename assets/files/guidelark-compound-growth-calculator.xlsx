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Calcul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<sst xmlns="http://schemas.openxmlformats.org/spreadsheetml/2006/main" count="26" uniqueCount="26">
  <si>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Compound growth calculator</t>
  </si>
  <si>
    <t xml:space="preserve">How to use it</t>
  </si>
  <si>
    <t xml:space="preserve">1. Type how much you put in each month and an assumed yearly growth rate.</t>
  </si>
  <si>
    <t xml:space="preserve">2. Type the age you start, the age you stop and how many years later a second saver starts.</t>
  </si>
  <si>
    <t xml:space="preserve">3. The table shows both savers year by year: what they paid in and what the account is worth.</t>
  </si>
  <si>
    <t xml:space="preserve">4. The bottom line shows how much the late starter would need each month to catch up.</t>
  </si>
  <si>
    <t xml:space="preserve">Growth is an assumption, not a promise. Real returns go up and down, and some years are negative.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</si>
  <si>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</si>
  <si>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</si>
  <si>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https://guidelark.com/blog/compound-interest-explained-simply/</t>
  </si>
  <si>
    <t xml:space="preserve">Free to use and share. General information, not financial advice.</t>
  </si>
  <si>
    <t xml:space="preserve">Compound growth: early start vs late start</t>
  </si>
  <si>
    <t xml:space="preserve">Interest is added monthly. Growth rate is an illustration.</t>
  </si>
  <si>
    <t xml:space="preserve">Monthly amount</t>
  </si>
  <si>
    <t xml:space="preserve">Assumed yearly growth</t>
  </si>
  <si>
    <t xml:space="preserve">Age you start</t>
  </si>
  <si>
    <t xml:space="preserve">Age you stop</t>
  </si>
  <si>
    <t xml:space="preserve">Late starter begins this many years later</t>
  </si>
  <si>
    <t xml:space="preserve">Early starter at the end</t>
  </si>
  <si>
    <t xml:space="preserve">Late starter at the end</t>
  </si>
  <si>
    <t xml:space="preserve">Monthly amount the late starter needs to catch up</t>
  </si>
  <si>
    <t xml:space="preserve">Age</t>
  </si>
  <si>
    <t xml:space="preserve">Early: paid in</t>
  </si>
  <si>
    <t xml:space="preserve">Early: worth</t>
  </si>
  <si>
    <t xml:space="preserve">Late: paid in</t>
  </si>
  <si>
    <t xml:space="preserve">Late: worth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</si>
</sst>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[RED]&quot;-$&quot;#,##0.00;\-"/>
    <numFmt numFmtId="166" formatCode="0.0%"/>
    <numFmt numFmtId="167" formatCode="\$#,##0;[RED]&quot;-$&quot;#,##0;\-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</cols>
  <sheetData>
    <row r="1" customFormat="false" ht="19.7" hidden="false" customHeight="false" outlineLevel="0" collapsed="false">
      <c r="A1" s="1" t="s">
        <v>11</v>
      </c>
    </row>
    <row r="2" customFormat="false" ht="15" hidden="false" customHeight="false" outlineLevel="0" collapsed="false">
      <c r="A2" s="4" t="s">
        <v>12</v>
      </c>
    </row>
    <row r="3" customFormat="false" ht="15" hidden="false" customHeight="false" outlineLevel="0" collapsed="false">
      <c r="A3" s="5" t="s">
        <v>13</v>
      </c>
      <c r="B3" s="6" t="n">
        <v>50</v>
      </c>
    </row>
    <row r="4" customFormat="false" ht="15" hidden="false" customHeight="false" outlineLevel="0" collapsed="false">
      <c r="A4" s="5" t="s">
        <v>14</v>
      </c>
      <c r="B4" s="7" t="n">
        <v>0.07</v>
      </c>
    </row>
    <row r="5" customFormat="false" ht="15" hidden="false" customHeight="false" outlineLevel="0" collapsed="false">
      <c r="A5" s="5" t="s">
        <v>15</v>
      </c>
      <c r="B5" s="8" t="n">
        <v>22</v>
      </c>
    </row>
    <row r="6" customFormat="false" ht="15" hidden="false" customHeight="false" outlineLevel="0" collapsed="false">
      <c r="A6" s="5" t="s">
        <v>16</v>
      </c>
      <c r="B6" s="8" t="n">
        <v>60</v>
      </c>
    </row>
    <row r="7" customFormat="false" ht="15" hidden="false" customHeight="false" outlineLevel="0" collapsed="false">
      <c r="A7" s="5" t="s">
        <v>17</v>
      </c>
      <c r="B7" s="8" t="n">
        <v>8</v>
      </c>
    </row>
    <row r="9" customFormat="false" ht="15" hidden="false" customHeight="false" outlineLevel="0" collapsed="false">
      <c r="A9" s="5" t="s">
        <v>18</v>
      </c>
      <c r="B9" s="9" t="n">
        <f aca="false">INDEX(C14:C63,MATCH($B$6,A14:A63,0))</f>
        <v>113024.820152128</v>
      </c>
    </row>
    <row r="10" customFormat="false" ht="15" hidden="false" customHeight="false" outlineLevel="0" collapsed="false">
      <c r="A10" s="5" t="s">
        <v>19</v>
      </c>
      <c r="B10" s="9" t="n">
        <f aca="false">INDEX(E14:E63,MATCH($B$6,A14:A63,0))</f>
        <v>60998.5497887972</v>
      </c>
    </row>
    <row r="11" customFormat="false" ht="15" hidden="false" customHeight="false" outlineLevel="0" collapsed="false">
      <c r="A11" s="5" t="s">
        <v>20</v>
      </c>
      <c r="B11" s="10" t="n">
        <f aca="false">IF((B6-B5-B7)&lt;=0,"-",B9*(B4/12)/((1+B4/12)^(12*(B6-B5-B7))-1))</f>
        <v>92.6454977564774</v>
      </c>
    </row>
    <row r="13" customFormat="false" ht="15" hidden="false" customHeight="false" outlineLevel="0" collapsed="false">
      <c r="A13" s="11" t="s">
        <v>21</v>
      </c>
      <c r="B13" s="12" t="s">
        <v>22</v>
      </c>
      <c r="C13" s="12" t="s">
        <v>23</v>
      </c>
      <c r="D13" s="12" t="s">
        <v>24</v>
      </c>
      <c r="E13" s="12" t="s">
        <v>25</v>
      </c>
    </row>
    <row r="14" customFormat="false" ht="15" hidden="false" customHeight="false" outlineLevel="0" collapsed="false">
      <c r="A14" s="13" t="n">
        <f aca="false">IF($B$5+1&gt;$B$6,"",$B$5+1)</f>
        <v>23</v>
      </c>
      <c r="B14" s="14" t="n">
        <f aca="false">IF(A14="","",$B$3*12*(A14-$B$5))</f>
        <v>600</v>
      </c>
      <c r="C14" s="14" t="n">
        <f aca="false">IF(A14="","",IF($B$4=0,B14,$B$3*((1+$B$4/12)^(12*(A14-$B$5))-1)/($B$4/12)))</f>
        <v>619.629264482022</v>
      </c>
      <c r="D14" s="14" t="n">
        <f aca="false">IF(A14="","",$B$3*12*MAX(0,A14-$B$5-$B$7))</f>
        <v>0</v>
      </c>
      <c r="E14" s="14" t="n">
        <f aca="false">IF(A14="","",IF($B$4=0,D14,$B$3*((1+$B$4/12)^(12*MAX(0,A14-$B$5-$B$7))-1)/($B$4/12)))</f>
        <v>0</v>
      </c>
    </row>
    <row r="15" customFormat="false" ht="15" hidden="false" customHeight="false" outlineLevel="0" collapsed="false">
      <c r="A15" s="13" t="n">
        <f aca="false">IF($B$5+2&gt;$B$6,"",$B$5+2)</f>
        <v>24</v>
      </c>
      <c r="B15" s="14" t="n">
        <f aca="false">IF(A15="","",$B$3*12*(A15-$B$5))</f>
        <v>1200</v>
      </c>
      <c r="C15" s="14" t="n">
        <f aca="false">IF(A15="","",IF($B$4=0,B15,$B$3*((1+$B$4/12)^(12*(A15-$B$5))-1)/($B$4/12)))</f>
        <v>1284.05157859434</v>
      </c>
      <c r="D15" s="14" t="n">
        <f aca="false">IF(A15="","",$B$3*12*MAX(0,A15-$B$5-$B$7))</f>
        <v>0</v>
      </c>
      <c r="E15" s="14" t="n">
        <f aca="false">IF(A15="","",IF($B$4=0,D15,$B$3*((1+$B$4/12)^(12*MAX(0,A15-$B$5-$B$7))-1)/($B$4/12)))</f>
        <v>0</v>
      </c>
    </row>
    <row r="16" customFormat="false" ht="15" hidden="false" customHeight="false" outlineLevel="0" collapsed="false">
      <c r="A16" s="13" t="n">
        <f aca="false">IF($B$5+3&gt;$B$6,"",$B$5+3)</f>
        <v>25</v>
      </c>
      <c r="B16" s="14" t="n">
        <f aca="false">IF(A16="","",$B$3*12*(A16-$B$5))</f>
        <v>1800</v>
      </c>
      <c r="C16" s="14" t="n">
        <f aca="false">IF(A16="","",IF($B$4=0,B16,$B$3*((1+$B$4/12)^(12*(A16-$B$5))-1)/($B$4/12)))</f>
        <v>1996.50503551653</v>
      </c>
      <c r="D16" s="14" t="n">
        <f aca="false">IF(A16="","",$B$3*12*MAX(0,A16-$B$5-$B$7))</f>
        <v>0</v>
      </c>
      <c r="E16" s="14" t="n">
        <f aca="false">IF(A16="","",IF($B$4=0,D16,$B$3*((1+$B$4/12)^(12*MAX(0,A16-$B$5-$B$7))-1)/($B$4/12)))</f>
        <v>0</v>
      </c>
    </row>
    <row r="17" customFormat="false" ht="15" hidden="false" customHeight="false" outlineLevel="0" collapsed="false">
      <c r="A17" s="13" t="n">
        <f aca="false">IF($B$5+4&gt;$B$6,"",$B$5+4)</f>
        <v>26</v>
      </c>
      <c r="B17" s="14" t="n">
        <f aca="false">IF(A17="","",$B$3*12*(A17-$B$5))</f>
        <v>2400</v>
      </c>
      <c r="C17" s="14" t="n">
        <f aca="false">IF(A17="","",IF($B$4=0,B17,$B$3*((1+$B$4/12)^(12*(A17-$B$5))-1)/($B$4/12)))</f>
        <v>2760.46181044592</v>
      </c>
      <c r="D17" s="14" t="n">
        <f aca="false">IF(A17="","",$B$3*12*MAX(0,A17-$B$5-$B$7))</f>
        <v>0</v>
      </c>
      <c r="E17" s="14" t="n">
        <f aca="false">IF(A17="","",IF($B$4=0,D17,$B$3*((1+$B$4/12)^(12*MAX(0,A17-$B$5-$B$7))-1)/($B$4/12)))</f>
        <v>0</v>
      </c>
    </row>
    <row r="18" customFormat="false" ht="15" hidden="false" customHeight="false" outlineLevel="0" collapsed="false">
      <c r="A18" s="13" t="n">
        <f aca="false">IF($B$5+5&gt;$B$6,"",$B$5+5)</f>
        <v>27</v>
      </c>
      <c r="B18" s="14" t="n">
        <f aca="false">IF(A18="","",$B$3*12*(A18-$B$5))</f>
        <v>3000</v>
      </c>
      <c r="C18" s="14" t="n">
        <f aca="false">IF(A18="","",IF($B$4=0,B18,$B$3*((1+$B$4/12)^(12*(A18-$B$5))-1)/($B$4/12)))</f>
        <v>3579.64508240563</v>
      </c>
      <c r="D18" s="14" t="n">
        <f aca="false">IF(A18="","",$B$3*12*MAX(0,A18-$B$5-$B$7))</f>
        <v>0</v>
      </c>
      <c r="E18" s="14" t="n">
        <f aca="false">IF(A18="","",IF($B$4=0,D18,$B$3*((1+$B$4/12)^(12*MAX(0,A18-$B$5-$B$7))-1)/($B$4/12)))</f>
        <v>0</v>
      </c>
    </row>
    <row r="19" customFormat="false" ht="15" hidden="false" customHeight="false" outlineLevel="0" collapsed="false">
      <c r="A19" s="13" t="n">
        <f aca="false">IF($B$5+6&gt;$B$6,"",$B$5+6)</f>
        <v>28</v>
      </c>
      <c r="B19" s="14" t="n">
        <f aca="false">IF(A19="","",$B$3*12*(A19-$B$5))</f>
        <v>3600</v>
      </c>
      <c r="C19" s="14" t="n">
        <f aca="false">IF(A19="","",IF($B$4=0,B19,$B$3*((1+$B$4/12)^(12*(A19-$B$5))-1)/($B$4/12)))</f>
        <v>4458.04717933138</v>
      </c>
      <c r="D19" s="14" t="n">
        <f aca="false">IF(A19="","",$B$3*12*MAX(0,A19-$B$5-$B$7))</f>
        <v>0</v>
      </c>
      <c r="E19" s="14" t="n">
        <f aca="false">IF(A19="","",IF($B$4=0,D19,$B$3*((1+$B$4/12)^(12*MAX(0,A19-$B$5-$B$7))-1)/($B$4/12)))</f>
        <v>0</v>
      </c>
    </row>
    <row r="20" customFormat="false" ht="15" hidden="false" customHeight="false" outlineLevel="0" collapsed="false">
      <c r="A20" s="13" t="n">
        <f aca="false">IF($B$5+7&gt;$B$6,"",$B$5+7)</f>
        <v>29</v>
      </c>
      <c r="B20" s="14" t="n">
        <f aca="false">IF(A20="","",$B$3*12*(A20-$B$5))</f>
        <v>4200</v>
      </c>
      <c r="C20" s="14" t="n">
        <f aca="false">IF(A20="","",IF($B$4=0,B20,$B$3*((1+$B$4/12)^(12*(A20-$B$5))-1)/($B$4/12)))</f>
        <v>5399.94903486819</v>
      </c>
      <c r="D20" s="14" t="n">
        <f aca="false">IF(A20="","",$B$3*12*MAX(0,A20-$B$5-$B$7))</f>
        <v>0</v>
      </c>
      <c r="E20" s="14" t="n">
        <f aca="false">IF(A20="","",IF($B$4=0,D20,$B$3*((1+$B$4/12)^(12*MAX(0,A20-$B$5-$B$7))-1)/($B$4/12)))</f>
        <v>0</v>
      </c>
    </row>
    <row r="21" customFormat="false" ht="15" hidden="false" customHeight="false" outlineLevel="0" collapsed="false">
      <c r="A21" s="13" t="n">
        <f aca="false">IF($B$5+8&gt;$B$6,"",$B$5+8)</f>
        <v>30</v>
      </c>
      <c r="B21" s="14" t="n">
        <f aca="false">IF(A21="","",$B$3*12*(A21-$B$5))</f>
        <v>4800</v>
      </c>
      <c r="C21" s="14" t="n">
        <f aca="false">IF(A21="","",IF($B$4=0,B21,$B$3*((1+$B$4/12)^(12*(A21-$B$5))-1)/($B$4/12)))</f>
        <v>6409.94105170038</v>
      </c>
      <c r="D21" s="14" t="n">
        <f aca="false">IF(A21="","",$B$3*12*MAX(0,A21-$B$5-$B$7))</f>
        <v>0</v>
      </c>
      <c r="E21" s="14" t="n">
        <f aca="false">IF(A21="","",IF($B$4=0,D21,$B$3*((1+$B$4/12)^(12*MAX(0,A21-$B$5-$B$7))-1)/($B$4/12)))</f>
        <v>0</v>
      </c>
    </row>
    <row r="22" customFormat="false" ht="15" hidden="false" customHeight="false" outlineLevel="0" collapsed="false">
      <c r="A22" s="13" t="n">
        <f aca="false">IF($B$5+9&gt;$B$6,"",$B$5+9)</f>
        <v>31</v>
      </c>
      <c r="B22" s="14" t="n">
        <f aca="false">IF(A22="","",$B$3*12*(A22-$B$5))</f>
        <v>5400</v>
      </c>
      <c r="C22" s="14" t="n">
        <f aca="false">IF(A22="","",IF($B$4=0,B22,$B$3*((1+$B$4/12)^(12*(A22-$B$5))-1)/($B$4/12)))</f>
        <v>7492.94547309353</v>
      </c>
      <c r="D22" s="14" t="n">
        <f aca="false">IF(A22="","",$B$3*12*MAX(0,A22-$B$5-$B$7))</f>
        <v>600</v>
      </c>
      <c r="E22" s="14" t="n">
        <f aca="false">IF(A22="","",IF($B$4=0,D22,$B$3*((1+$B$4/12)^(12*MAX(0,A22-$B$5-$B$7))-1)/($B$4/12)))</f>
        <v>619.629264482022</v>
      </c>
    </row>
    <row r="23" customFormat="false" ht="15" hidden="false" customHeight="false" outlineLevel="0" collapsed="false">
      <c r="A23" s="13" t="n">
        <f aca="false">IF($B$5+10&gt;$B$6,"",$B$5+10)</f>
        <v>32</v>
      </c>
      <c r="B23" s="14" t="n">
        <f aca="false">IF(A23="","",$B$3*12*(A23-$B$5))</f>
        <v>6000</v>
      </c>
      <c r="C23" s="14" t="n">
        <f aca="false">IF(A23="","",IF($B$4=0,B23,$B$3*((1+$B$4/12)^(12*(A23-$B$5))-1)/($B$4/12)))</f>
        <v>8654.24037167685</v>
      </c>
      <c r="D23" s="14" t="n">
        <f aca="false">IF(A23="","",$B$3*12*MAX(0,A23-$B$5-$B$7))</f>
        <v>1200</v>
      </c>
      <c r="E23" s="14" t="n">
        <f aca="false">IF(A23="","",IF($B$4=0,D23,$B$3*((1+$B$4/12)^(12*MAX(0,A23-$B$5-$B$7))-1)/($B$4/12)))</f>
        <v>1284.05157859434</v>
      </c>
    </row>
    <row r="24" customFormat="false" ht="15" hidden="false" customHeight="false" outlineLevel="0" collapsed="false">
      <c r="A24" s="13" t="n">
        <f aca="false">IF($B$5+11&gt;$B$6,"",$B$5+11)</f>
        <v>33</v>
      </c>
      <c r="B24" s="14" t="n">
        <f aca="false">IF(A24="","",$B$3*12*(A24-$B$5))</f>
        <v>6600</v>
      </c>
      <c r="C24" s="14" t="n">
        <f aca="false">IF(A24="","",IF($B$4=0,B24,$B$3*((1+$B$4/12)^(12*(A24-$B$5))-1)/($B$4/12)))</f>
        <v>9899.4853723767</v>
      </c>
      <c r="D24" s="14" t="n">
        <f aca="false">IF(A24="","",$B$3*12*MAX(0,A24-$B$5-$B$7))</f>
        <v>1800</v>
      </c>
      <c r="E24" s="14" t="n">
        <f aca="false">IF(A24="","",IF($B$4=0,D24,$B$3*((1+$B$4/12)^(12*MAX(0,A24-$B$5-$B$7))-1)/($B$4/12)))</f>
        <v>1996.50503551653</v>
      </c>
    </row>
    <row r="25" customFormat="false" ht="15" hidden="false" customHeight="false" outlineLevel="0" collapsed="false">
      <c r="A25" s="13" t="n">
        <f aca="false">IF($B$5+12&gt;$B$6,"",$B$5+12)</f>
        <v>34</v>
      </c>
      <c r="B25" s="14" t="n">
        <f aca="false">IF(A25="","",$B$3*12*(A25-$B$5))</f>
        <v>7200</v>
      </c>
      <c r="C25" s="14" t="n">
        <f aca="false">IF(A25="","",IF($B$4=0,B25,$B$3*((1+$B$4/12)^(12*(A25-$B$5))-1)/($B$4/12)))</f>
        <v>11234.749234863</v>
      </c>
      <c r="D25" s="14" t="n">
        <f aca="false">IF(A25="","",$B$3*12*MAX(0,A25-$B$5-$B$7))</f>
        <v>2400</v>
      </c>
      <c r="E25" s="14" t="n">
        <f aca="false">IF(A25="","",IF($B$4=0,D25,$B$3*((1+$B$4/12)^(12*MAX(0,A25-$B$5-$B$7))-1)/($B$4/12)))</f>
        <v>2760.46181044592</v>
      </c>
    </row>
    <row r="26" customFormat="false" ht="15" hidden="false" customHeight="false" outlineLevel="0" collapsed="false">
      <c r="A26" s="13" t="n">
        <f aca="false">IF($B$5+13&gt;$B$6,"",$B$5+13)</f>
        <v>35</v>
      </c>
      <c r="B26" s="14" t="n">
        <f aca="false">IF(A26="","",$B$3*12*(A26-$B$5))</f>
        <v>7800</v>
      </c>
      <c r="C26" s="14" t="n">
        <f aca="false">IF(A26="","",IF($B$4=0,B26,$B$3*((1+$B$4/12)^(12*(A26-$B$5))-1)/($B$4/12)))</f>
        <v>12666.5394299328</v>
      </c>
      <c r="D26" s="14" t="n">
        <f aca="false">IF(A26="","",$B$3*12*MAX(0,A26-$B$5-$B$7))</f>
        <v>3000</v>
      </c>
      <c r="E26" s="14" t="n">
        <f aca="false">IF(A26="","",IF($B$4=0,D26,$B$3*((1+$B$4/12)^(12*MAX(0,A26-$B$5-$B$7))-1)/($B$4/12)))</f>
        <v>3579.64508240563</v>
      </c>
    </row>
    <row r="27" customFormat="false" ht="15" hidden="false" customHeight="false" outlineLevel="0" collapsed="false">
      <c r="A27" s="13" t="n">
        <f aca="false">IF($B$5+14&gt;$B$6,"",$B$5+14)</f>
        <v>36</v>
      </c>
      <c r="B27" s="14" t="n">
        <f aca="false">IF(A27="","",$B$3*12*(A27-$B$5))</f>
        <v>8400</v>
      </c>
      <c r="C27" s="14" t="n">
        <f aca="false">IF(A27="","",IF($B$4=0,B27,$B$3*((1+$B$4/12)^(12*(A27-$B$5))-1)/($B$4/12)))</f>
        <v>14201.8338539733</v>
      </c>
      <c r="D27" s="14" t="n">
        <f aca="false">IF(A27="","",$B$3*12*MAX(0,A27-$B$5-$B$7))</f>
        <v>3600</v>
      </c>
      <c r="E27" s="14" t="n">
        <f aca="false">IF(A27="","",IF($B$4=0,D27,$B$3*((1+$B$4/12)^(12*MAX(0,A27-$B$5-$B$7))-1)/($B$4/12)))</f>
        <v>4458.04717933138</v>
      </c>
    </row>
    <row r="28" customFormat="false" ht="15" hidden="false" customHeight="false" outlineLevel="0" collapsed="false">
      <c r="A28" s="13" t="n">
        <f aca="false">IF($B$5+15&gt;$B$6,"",$B$5+15)</f>
        <v>37</v>
      </c>
      <c r="B28" s="14" t="n">
        <f aca="false">IF(A28="","",$B$3*12*(A28-$B$5))</f>
        <v>9000</v>
      </c>
      <c r="C28" s="14" t="n">
        <f aca="false">IF(A28="","",IF($B$4=0,B28,$B$3*((1+$B$4/12)^(12*(A28-$B$5))-1)/($B$4/12)))</f>
        <v>15848.1148360659</v>
      </c>
      <c r="D28" s="14" t="n">
        <f aca="false">IF(A28="","",$B$3*12*MAX(0,A28-$B$5-$B$7))</f>
        <v>4200</v>
      </c>
      <c r="E28" s="14" t="n">
        <f aca="false">IF(A28="","",IF($B$4=0,D28,$B$3*((1+$B$4/12)^(12*MAX(0,A28-$B$5-$B$7))-1)/($B$4/12)))</f>
        <v>5399.94903486819</v>
      </c>
    </row>
    <row r="29" customFormat="false" ht="15" hidden="false" customHeight="false" outlineLevel="0" collapsed="false">
      <c r="A29" s="13" t="n">
        <f aca="false">IF($B$5+16&gt;$B$6,"",$B$5+16)</f>
        <v>38</v>
      </c>
      <c r="B29" s="14" t="n">
        <f aca="false">IF(A29="","",$B$3*12*(A29-$B$5))</f>
        <v>9600</v>
      </c>
      <c r="C29" s="14" t="n">
        <f aca="false">IF(A29="","",IF($B$4=0,B29,$B$3*((1+$B$4/12)^(12*(A29-$B$5))-1)/($B$4/12)))</f>
        <v>17613.405603466</v>
      </c>
      <c r="D29" s="14" t="n">
        <f aca="false">IF(A29="","",$B$3*12*MAX(0,A29-$B$5-$B$7))</f>
        <v>4800</v>
      </c>
      <c r="E29" s="14" t="n">
        <f aca="false">IF(A29="","",IF($B$4=0,D29,$B$3*((1+$B$4/12)^(12*MAX(0,A29-$B$5-$B$7))-1)/($B$4/12)))</f>
        <v>6409.94105170038</v>
      </c>
    </row>
    <row r="30" customFormat="false" ht="15" hidden="false" customHeight="false" outlineLevel="0" collapsed="false">
      <c r="A30" s="13" t="n">
        <f aca="false">IF($B$5+17&gt;$B$6,"",$B$5+17)</f>
        <v>39</v>
      </c>
      <c r="B30" s="14" t="n">
        <f aca="false">IF(A30="","",$B$3*12*(A30-$B$5))</f>
        <v>10200</v>
      </c>
      <c r="C30" s="14" t="n">
        <f aca="false">IF(A30="","",IF($B$4=0,B30,$B$3*((1+$B$4/12)^(12*(A30-$B$5))-1)/($B$4/12)))</f>
        <v>19506.3093831763</v>
      </c>
      <c r="D30" s="14" t="n">
        <f aca="false">IF(A30="","",$B$3*12*MAX(0,A30-$B$5-$B$7))</f>
        <v>5400</v>
      </c>
      <c r="E30" s="14" t="n">
        <f aca="false">IF(A30="","",IF($B$4=0,D30,$B$3*((1+$B$4/12)^(12*MAX(0,A30-$B$5-$B$7))-1)/($B$4/12)))</f>
        <v>7492.94547309353</v>
      </c>
    </row>
    <row r="31" customFormat="false" ht="15" hidden="false" customHeight="false" outlineLevel="0" collapsed="false">
      <c r="A31" s="13" t="n">
        <f aca="false">IF($B$5+18&gt;$B$6,"",$B$5+18)</f>
        <v>40</v>
      </c>
      <c r="B31" s="14" t="n">
        <f aca="false">IF(A31="","",$B$3*12*(A31-$B$5))</f>
        <v>10800</v>
      </c>
      <c r="C31" s="14" t="n">
        <f aca="false">IF(A31="","",IF($B$4=0,B31,$B$3*((1+$B$4/12)^(12*(A31-$B$5))-1)/($B$4/12)))</f>
        <v>21536.0513301749</v>
      </c>
      <c r="D31" s="14" t="n">
        <f aca="false">IF(A31="","",$B$3*12*MAX(0,A31-$B$5-$B$7))</f>
        <v>6000</v>
      </c>
      <c r="E31" s="14" t="n">
        <f aca="false">IF(A31="","",IF($B$4=0,D31,$B$3*((1+$B$4/12)^(12*MAX(0,A31-$B$5-$B$7))-1)/($B$4/12)))</f>
        <v>8654.24037167685</v>
      </c>
    </row>
    <row r="32" customFormat="false" ht="15" hidden="false" customHeight="false" outlineLevel="0" collapsed="false">
      <c r="A32" s="13" t="n">
        <f aca="false">IF($B$5+19&gt;$B$6,"",$B$5+19)</f>
        <v>41</v>
      </c>
      <c r="B32" s="14" t="n">
        <f aca="false">IF(A32="","",$B$3*12*(A32-$B$5))</f>
        <v>11400</v>
      </c>
      <c r="C32" s="14" t="n">
        <f aca="false">IF(A32="","",IF($B$4=0,B32,$B$3*((1+$B$4/12)^(12*(A32-$B$5))-1)/($B$4/12)))</f>
        <v>23712.5234866393</v>
      </c>
      <c r="D32" s="14" t="n">
        <f aca="false">IF(A32="","",$B$3*12*MAX(0,A32-$B$5-$B$7))</f>
        <v>6600</v>
      </c>
      <c r="E32" s="14" t="n">
        <f aca="false">IF(A32="","",IF($B$4=0,D32,$B$3*((1+$B$4/12)^(12*MAX(0,A32-$B$5-$B$7))-1)/($B$4/12)))</f>
        <v>9899.4853723767</v>
      </c>
    </row>
    <row r="33" customFormat="false" ht="15" hidden="false" customHeight="false" outlineLevel="0" collapsed="false">
      <c r="A33" s="13" t="n">
        <f aca="false">IF($B$5+20&gt;$B$6,"",$B$5+20)</f>
        <v>42</v>
      </c>
      <c r="B33" s="14" t="n">
        <f aca="false">IF(A33="","",$B$3*12*(A33-$B$5))</f>
        <v>12000</v>
      </c>
      <c r="C33" s="14" t="n">
        <f aca="false">IF(A33="","",IF($B$4=0,B33,$B$3*((1+$B$4/12)^(12*(A33-$B$5))-1)/($B$4/12)))</f>
        <v>26046.3329912759</v>
      </c>
      <c r="D33" s="14" t="n">
        <f aca="false">IF(A33="","",$B$3*12*MAX(0,A33-$B$5-$B$7))</f>
        <v>7200</v>
      </c>
      <c r="E33" s="14" t="n">
        <f aca="false">IF(A33="","",IF($B$4=0,D33,$B$3*((1+$B$4/12)^(12*MAX(0,A33-$B$5-$B$7))-1)/($B$4/12)))</f>
        <v>11234.749234863</v>
      </c>
    </row>
    <row r="34" customFormat="false" ht="15" hidden="false" customHeight="false" outlineLevel="0" collapsed="false">
      <c r="A34" s="13" t="n">
        <f aca="false">IF($B$5+21&gt;$B$6,"",$B$5+21)</f>
        <v>43</v>
      </c>
      <c r="B34" s="14" t="n">
        <f aca="false">IF(A34="","",$B$3*12*(A34-$B$5))</f>
        <v>12600</v>
      </c>
      <c r="C34" s="14" t="n">
        <f aca="false">IF(A34="","",IF($B$4=0,B34,$B$3*((1+$B$4/12)^(12*(A34-$B$5))-1)/($B$4/12)))</f>
        <v>28548.8537737057</v>
      </c>
      <c r="D34" s="14" t="n">
        <f aca="false">IF(A34="","",$B$3*12*MAX(0,A34-$B$5-$B$7))</f>
        <v>7800</v>
      </c>
      <c r="E34" s="14" t="n">
        <f aca="false">IF(A34="","",IF($B$4=0,D34,$B$3*((1+$B$4/12)^(12*MAX(0,A34-$B$5-$B$7))-1)/($B$4/12)))</f>
        <v>12666.5394299328</v>
      </c>
    </row>
    <row r="35" customFormat="false" ht="15" hidden="false" customHeight="false" outlineLevel="0" collapsed="false">
      <c r="A35" s="13" t="n">
        <f aca="false">IF($B$5+22&gt;$B$6,"",$B$5+22)</f>
        <v>44</v>
      </c>
      <c r="B35" s="14" t="n">
        <f aca="false">IF(A35="","",$B$3*12*(A35-$B$5))</f>
        <v>13200</v>
      </c>
      <c r="C35" s="14" t="n">
        <f aca="false">IF(A35="","",IF($B$4=0,B35,$B$3*((1+$B$4/12)^(12*(A35-$B$5))-1)/($B$4/12)))</f>
        <v>31232.2819858418</v>
      </c>
      <c r="D35" s="14" t="n">
        <f aca="false">IF(A35="","",$B$3*12*MAX(0,A35-$B$5-$B$7))</f>
        <v>8400</v>
      </c>
      <c r="E35" s="14" t="n">
        <f aca="false">IF(A35="","",IF($B$4=0,D35,$B$3*((1+$B$4/12)^(12*MAX(0,A35-$B$5-$B$7))-1)/($B$4/12)))</f>
        <v>14201.8338539733</v>
      </c>
    </row>
    <row r="36" customFormat="false" ht="15" hidden="false" customHeight="false" outlineLevel="0" collapsed="false">
      <c r="A36" s="13" t="n">
        <f aca="false">IF($B$5+23&gt;$B$6,"",$B$5+23)</f>
        <v>45</v>
      </c>
      <c r="B36" s="14" t="n">
        <f aca="false">IF(A36="","",$B$3*12*(A36-$B$5))</f>
        <v>13800</v>
      </c>
      <c r="C36" s="14" t="n">
        <f aca="false">IF(A36="","",IF($B$4=0,B36,$B$3*((1+$B$4/12)^(12*(A36-$B$5))-1)/($B$4/12)))</f>
        <v>34109.695440405</v>
      </c>
      <c r="D36" s="14" t="n">
        <f aca="false">IF(A36="","",$B$3*12*MAX(0,A36-$B$5-$B$7))</f>
        <v>9000</v>
      </c>
      <c r="E36" s="14" t="n">
        <f aca="false">IF(A36="","",IF($B$4=0,D36,$B$3*((1+$B$4/12)^(12*MAX(0,A36-$B$5-$B$7))-1)/($B$4/12)))</f>
        <v>15848.1148360659</v>
      </c>
    </row>
    <row r="37" customFormat="false" ht="15" hidden="false" customHeight="false" outlineLevel="0" collapsed="false">
      <c r="A37" s="13" t="n">
        <f aca="false">IF($B$5+24&gt;$B$6,"",$B$5+24)</f>
        <v>46</v>
      </c>
      <c r="B37" s="14" t="n">
        <f aca="false">IF(A37="","",$B$3*12*(A37-$B$5))</f>
        <v>14400</v>
      </c>
      <c r="C37" s="14" t="n">
        <f aca="false">IF(A37="","",IF($B$4=0,B37,$B$3*((1+$B$4/12)^(12*(A37-$B$5))-1)/($B$4/12)))</f>
        <v>37195.1173462555</v>
      </c>
      <c r="D37" s="14" t="n">
        <f aca="false">IF(A37="","",$B$3*12*MAX(0,A37-$B$5-$B$7))</f>
        <v>9600</v>
      </c>
      <c r="E37" s="14" t="n">
        <f aca="false">IF(A37="","",IF($B$4=0,D37,$B$3*((1+$B$4/12)^(12*MAX(0,A37-$B$5-$B$7))-1)/($B$4/12)))</f>
        <v>17613.405603466</v>
      </c>
    </row>
    <row r="38" customFormat="false" ht="15" hidden="false" customHeight="false" outlineLevel="0" collapsed="false">
      <c r="A38" s="13" t="n">
        <f aca="false">IF($B$5+25&gt;$B$6,"",$B$5+25)</f>
        <v>47</v>
      </c>
      <c r="B38" s="14" t="n">
        <f aca="false">IF(A38="","",$B$3*12*(A38-$B$5))</f>
        <v>15000</v>
      </c>
      <c r="C38" s="14" t="n">
        <f aca="false">IF(A38="","",IF($B$4=0,B38,$B$3*((1+$B$4/12)^(12*(A38-$B$5))-1)/($B$4/12)))</f>
        <v>40503.5846511555</v>
      </c>
      <c r="D38" s="14" t="n">
        <f aca="false">IF(A38="","",$B$3*12*MAX(0,A38-$B$5-$B$7))</f>
        <v>10200</v>
      </c>
      <c r="E38" s="14" t="n">
        <f aca="false">IF(A38="","",IF($B$4=0,D38,$B$3*((1+$B$4/12)^(12*MAX(0,A38-$B$5-$B$7))-1)/($B$4/12)))</f>
        <v>19506.3093831763</v>
      </c>
    </row>
    <row r="39" customFormat="false" ht="15" hidden="false" customHeight="false" outlineLevel="0" collapsed="false">
      <c r="A39" s="13" t="n">
        <f aca="false">IF($B$5+26&gt;$B$6,"",$B$5+26)</f>
        <v>48</v>
      </c>
      <c r="B39" s="14" t="n">
        <f aca="false">IF(A39="","",$B$3*12*(A39-$B$5))</f>
        <v>15600</v>
      </c>
      <c r="C39" s="14" t="n">
        <f aca="false">IF(A39="","",IF($B$4=0,B39,$B$3*((1+$B$4/12)^(12*(A39-$B$5))-1)/($B$4/12)))</f>
        <v>44051.221325037</v>
      </c>
      <c r="D39" s="14" t="n">
        <f aca="false">IF(A39="","",$B$3*12*MAX(0,A39-$B$5-$B$7))</f>
        <v>10800</v>
      </c>
      <c r="E39" s="14" t="n">
        <f aca="false">IF(A39="","",IF($B$4=0,D39,$B$3*((1+$B$4/12)^(12*MAX(0,A39-$B$5-$B$7))-1)/($B$4/12)))</f>
        <v>21536.0513301749</v>
      </c>
    </row>
    <row r="40" customFormat="false" ht="15" hidden="false" customHeight="false" outlineLevel="0" collapsed="false">
      <c r="A40" s="13" t="n">
        <f aca="false">IF($B$5+27&gt;$B$6,"",$B$5+27)</f>
        <v>49</v>
      </c>
      <c r="B40" s="14" t="n">
        <f aca="false">IF(A40="","",$B$3*12*(A40-$B$5))</f>
        <v>16200</v>
      </c>
      <c r="C40" s="14" t="n">
        <f aca="false">IF(A40="","",IF($B$4=0,B40,$B$3*((1+$B$4/12)^(12*(A40-$B$5))-1)/($B$4/12)))</f>
        <v>47855.3169409219</v>
      </c>
      <c r="D40" s="14" t="n">
        <f aca="false">IF(A40="","",$B$3*12*MAX(0,A40-$B$5-$B$7))</f>
        <v>11400</v>
      </c>
      <c r="E40" s="14" t="n">
        <f aca="false">IF(A40="","",IF($B$4=0,D40,$B$3*((1+$B$4/12)^(12*MAX(0,A40-$B$5-$B$7))-1)/($B$4/12)))</f>
        <v>23712.5234866393</v>
      </c>
    </row>
    <row r="41" customFormat="false" ht="15" hidden="false" customHeight="false" outlineLevel="0" collapsed="false">
      <c r="A41" s="13" t="n">
        <f aca="false">IF($B$5+28&gt;$B$6,"",$B$5+28)</f>
        <v>50</v>
      </c>
      <c r="B41" s="14" t="n">
        <f aca="false">IF(A41="","",$B$3*12*(A41-$B$5))</f>
        <v>16800</v>
      </c>
      <c r="C41" s="14" t="n">
        <f aca="false">IF(A41="","",IF($B$4=0,B41,$B$3*((1+$B$4/12)^(12*(A41-$B$5))-1)/($B$4/12)))</f>
        <v>51934.410936464</v>
      </c>
      <c r="D41" s="14" t="n">
        <f aca="false">IF(A41="","",$B$3*12*MAX(0,A41-$B$5-$B$7))</f>
        <v>12000</v>
      </c>
      <c r="E41" s="14" t="n">
        <f aca="false">IF(A41="","",IF($B$4=0,D41,$B$3*((1+$B$4/12)^(12*MAX(0,A41-$B$5-$B$7))-1)/($B$4/12)))</f>
        <v>26046.3329912759</v>
      </c>
    </row>
    <row r="42" customFormat="false" ht="15" hidden="false" customHeight="false" outlineLevel="0" collapsed="false">
      <c r="A42" s="13" t="n">
        <f aca="false">IF($B$5+29&gt;$B$6,"",$B$5+29)</f>
        <v>51</v>
      </c>
      <c r="B42" s="14" t="n">
        <f aca="false">IF(A42="","",$B$3*12*(A42-$B$5))</f>
        <v>17400</v>
      </c>
      <c r="C42" s="14" t="n">
        <f aca="false">IF(A42="","",IF($B$4=0,B42,$B$3*((1+$B$4/12)^(12*(A42-$B$5))-1)/($B$4/12)))</f>
        <v>56308.3829667639</v>
      </c>
      <c r="D42" s="14" t="n">
        <f aca="false">IF(A42="","",$B$3*12*MAX(0,A42-$B$5-$B$7))</f>
        <v>12600</v>
      </c>
      <c r="E42" s="14" t="n">
        <f aca="false">IF(A42="","",IF($B$4=0,D42,$B$3*((1+$B$4/12)^(12*MAX(0,A42-$B$5-$B$7))-1)/($B$4/12)))</f>
        <v>28548.8537737057</v>
      </c>
    </row>
    <row r="43" customFormat="false" ht="15" hidden="false" customHeight="false" outlineLevel="0" collapsed="false">
      <c r="A43" s="13" t="n">
        <f aca="false">IF($B$5+30&gt;$B$6,"",$B$5+30)</f>
        <v>52</v>
      </c>
      <c r="B43" s="14" t="n">
        <f aca="false">IF(A43="","",$B$3*12*(A43-$B$5))</f>
        <v>18000</v>
      </c>
      <c r="C43" s="14" t="n">
        <f aca="false">IF(A43="","",IF($B$4=0,B43,$B$3*((1+$B$4/12)^(12*(A43-$B$5))-1)/($B$4/12)))</f>
        <v>60998.5497887972</v>
      </c>
      <c r="D43" s="14" t="n">
        <f aca="false">IF(A43="","",$B$3*12*MAX(0,A43-$B$5-$B$7))</f>
        <v>13200</v>
      </c>
      <c r="E43" s="14" t="n">
        <f aca="false">IF(A43="","",IF($B$4=0,D43,$B$3*((1+$B$4/12)^(12*MAX(0,A43-$B$5-$B$7))-1)/($B$4/12)))</f>
        <v>31232.2819858418</v>
      </c>
    </row>
    <row r="44" customFormat="false" ht="15" hidden="false" customHeight="false" outlineLevel="0" collapsed="false">
      <c r="A44" s="13" t="n">
        <f aca="false">IF($B$5+31&gt;$B$6,"",$B$5+31)</f>
        <v>53</v>
      </c>
      <c r="B44" s="14" t="n">
        <f aca="false">IF(A44="","",$B$3*12*(A44-$B$5))</f>
        <v>18600</v>
      </c>
      <c r="C44" s="14" t="n">
        <f aca="false">IF(A44="","",IF($B$4=0,B44,$B$3*((1+$B$4/12)^(12*(A44-$B$5))-1)/($B$4/12)))</f>
        <v>66027.7691496245</v>
      </c>
      <c r="D44" s="14" t="n">
        <f aca="false">IF(A44="","",$B$3*12*MAX(0,A44-$B$5-$B$7))</f>
        <v>13800</v>
      </c>
      <c r="E44" s="14" t="n">
        <f aca="false">IF(A44="","",IF($B$4=0,D44,$B$3*((1+$B$4/12)^(12*MAX(0,A44-$B$5-$B$7))-1)/($B$4/12)))</f>
        <v>34109.695440405</v>
      </c>
    </row>
    <row r="45" customFormat="false" ht="15" hidden="false" customHeight="false" outlineLevel="0" collapsed="false">
      <c r="A45" s="13" t="n">
        <f aca="false">IF($B$5+32&gt;$B$6,"",$B$5+32)</f>
        <v>54</v>
      </c>
      <c r="B45" s="14" t="n">
        <f aca="false">IF(A45="","",$B$3*12*(A45-$B$5))</f>
        <v>19200</v>
      </c>
      <c r="C45" s="14" t="n">
        <f aca="false">IF(A45="","",IF($B$4=0,B45,$B$3*((1+$B$4/12)^(12*(A45-$B$5))-1)/($B$4/12)))</f>
        <v>71420.5511846898</v>
      </c>
      <c r="D45" s="14" t="n">
        <f aca="false">IF(A45="","",$B$3*12*MAX(0,A45-$B$5-$B$7))</f>
        <v>14400</v>
      </c>
      <c r="E45" s="14" t="n">
        <f aca="false">IF(A45="","",IF($B$4=0,D45,$B$3*((1+$B$4/12)^(12*MAX(0,A45-$B$5-$B$7))-1)/($B$4/12)))</f>
        <v>37195.1173462555</v>
      </c>
    </row>
    <row r="46" customFormat="false" ht="15" hidden="false" customHeight="false" outlineLevel="0" collapsed="false">
      <c r="A46" s="13" t="n">
        <f aca="false">IF($B$5+33&gt;$B$6,"",$B$5+33)</f>
        <v>55</v>
      </c>
      <c r="B46" s="14" t="n">
        <f aca="false">IF(A46="","",$B$3*12*(A46-$B$5))</f>
        <v>19800</v>
      </c>
      <c r="C46" s="14" t="n">
        <f aca="false">IF(A46="","",IF($B$4=0,B46,$B$3*((1+$B$4/12)^(12*(A46-$B$5))-1)/($B$4/12)))</f>
        <v>77203.17786911</v>
      </c>
      <c r="D46" s="14" t="n">
        <f aca="false">IF(A46="","",$B$3*12*MAX(0,A46-$B$5-$B$7))</f>
        <v>15000</v>
      </c>
      <c r="E46" s="14" t="n">
        <f aca="false">IF(A46="","",IF($B$4=0,D46,$B$3*((1+$B$4/12)^(12*MAX(0,A46-$B$5-$B$7))-1)/($B$4/12)))</f>
        <v>40503.5846511555</v>
      </c>
    </row>
    <row r="47" customFormat="false" ht="15" hidden="false" customHeight="false" outlineLevel="0" collapsed="false">
      <c r="A47" s="13" t="n">
        <f aca="false">IF($B$5+34&gt;$B$6,"",$B$5+34)</f>
        <v>56</v>
      </c>
      <c r="B47" s="14" t="n">
        <f aca="false">IF(A47="","",$B$3*12*(A47-$B$5))</f>
        <v>20400</v>
      </c>
      <c r="C47" s="14" t="n">
        <f aca="false">IF(A47="","",IF($B$4=0,B47,$B$3*((1+$B$4/12)^(12*(A47-$B$5))-1)/($B$4/12)))</f>
        <v>83403.8311041083</v>
      </c>
      <c r="D47" s="14" t="n">
        <f aca="false">IF(A47="","",$B$3*12*MAX(0,A47-$B$5-$B$7))</f>
        <v>15600</v>
      </c>
      <c r="E47" s="14" t="n">
        <f aca="false">IF(A47="","",IF($B$4=0,D47,$B$3*((1+$B$4/12)^(12*MAX(0,A47-$B$5-$B$7))-1)/($B$4/12)))</f>
        <v>44051.221325037</v>
      </c>
    </row>
    <row r="48" customFormat="false" ht="15" hidden="false" customHeight="false" outlineLevel="0" collapsed="false">
      <c r="A48" s="13" t="n">
        <f aca="false">IF($B$5+35&gt;$B$6,"",$B$5+35)</f>
        <v>57</v>
      </c>
      <c r="B48" s="14" t="n">
        <f aca="false">IF(A48="","",$B$3*12*(A48-$B$5))</f>
        <v>21000</v>
      </c>
      <c r="C48" s="14" t="n">
        <f aca="false">IF(A48="","",IF($B$4=0,B48,$B$3*((1+$B$4/12)^(12*(A48-$B$5))-1)/($B$4/12)))</f>
        <v>90052.7300628262</v>
      </c>
      <c r="D48" s="14" t="n">
        <f aca="false">IF(A48="","",$B$3*12*MAX(0,A48-$B$5-$B$7))</f>
        <v>16200</v>
      </c>
      <c r="E48" s="14" t="n">
        <f aca="false">IF(A48="","",IF($B$4=0,D48,$B$3*((1+$B$4/12)^(12*MAX(0,A48-$B$5-$B$7))-1)/($B$4/12)))</f>
        <v>47855.3169409219</v>
      </c>
    </row>
    <row r="49" customFormat="false" ht="15" hidden="false" customHeight="false" outlineLevel="0" collapsed="false">
      <c r="A49" s="13" t="n">
        <f aca="false">IF($B$5+36&gt;$B$6,"",$B$5+36)</f>
        <v>58</v>
      </c>
      <c r="B49" s="14" t="n">
        <f aca="false">IF(A49="","",$B$3*12*(A49-$B$5))</f>
        <v>21600</v>
      </c>
      <c r="C49" s="14" t="n">
        <f aca="false">IF(A49="","",IF($B$4=0,B49,$B$3*((1+$B$4/12)^(12*(A49-$B$5))-1)/($B$4/12)))</f>
        <v>97182.2784648747</v>
      </c>
      <c r="D49" s="14" t="n">
        <f aca="false">IF(A49="","",$B$3*12*MAX(0,A49-$B$5-$B$7))</f>
        <v>16800</v>
      </c>
      <c r="E49" s="14" t="n">
        <f aca="false">IF(A49="","",IF($B$4=0,D49,$B$3*((1+$B$4/12)^(12*MAX(0,A49-$B$5-$B$7))-1)/($B$4/12)))</f>
        <v>51934.410936464</v>
      </c>
    </row>
    <row r="50" customFormat="false" ht="15" hidden="false" customHeight="false" outlineLevel="0" collapsed="false">
      <c r="A50" s="13" t="n">
        <f aca="false">IF($B$5+37&gt;$B$6,"",$B$5+37)</f>
        <v>59</v>
      </c>
      <c r="B50" s="14" t="n">
        <f aca="false">IF(A50="","",$B$3*12*(A50-$B$5))</f>
        <v>22200</v>
      </c>
      <c r="C50" s="14" t="n">
        <f aca="false">IF(A50="","",IF($B$4=0,B50,$B$3*((1+$B$4/12)^(12*(A50-$B$5))-1)/($B$4/12)))</f>
        <v>104827.222497376</v>
      </c>
      <c r="D50" s="14" t="n">
        <f aca="false">IF(A50="","",$B$3*12*MAX(0,A50-$B$5-$B$7))</f>
        <v>17400</v>
      </c>
      <c r="E50" s="14" t="n">
        <f aca="false">IF(A50="","",IF($B$4=0,D50,$B$3*((1+$B$4/12)^(12*MAX(0,A50-$B$5-$B$7))-1)/($B$4/12)))</f>
        <v>56308.3829667639</v>
      </c>
    </row>
    <row r="51" customFormat="false" ht="15" hidden="false" customHeight="false" outlineLevel="0" collapsed="false">
      <c r="A51" s="13" t="n">
        <f aca="false">IF($B$5+38&gt;$B$6,"",$B$5+38)</f>
        <v>60</v>
      </c>
      <c r="B51" s="14" t="n">
        <f aca="false">IF(A51="","",$B$3*12*(A51-$B$5))</f>
        <v>22800</v>
      </c>
      <c r="C51" s="14" t="n">
        <f aca="false">IF(A51="","",IF($B$4=0,B51,$B$3*((1+$B$4/12)^(12*(A51-$B$5))-1)/($B$4/12)))</f>
        <v>113024.820152128</v>
      </c>
      <c r="D51" s="14" t="n">
        <f aca="false">IF(A51="","",$B$3*12*MAX(0,A51-$B$5-$B$7))</f>
        <v>18000</v>
      </c>
      <c r="E51" s="14" t="n">
        <f aca="false">IF(A51="","",IF($B$4=0,D51,$B$3*((1+$B$4/12)^(12*MAX(0,A51-$B$5-$B$7))-1)/($B$4/12)))</f>
        <v>60998.5497887972</v>
      </c>
    </row>
    <row r="52" customFormat="false" ht="15" hidden="false" customHeight="false" outlineLevel="0" collapsed="false">
      <c r="A52" s="13" t="str">
        <f aca="false">IF($B$5+39&gt;$B$6,"",$B$5+39)</f>
        <v/>
      </c>
      <c r="B52" s="14" t="str">
        <f aca="false">IF(A52="","",$B$3*12*(A52-$B$5))</f>
        <v/>
      </c>
      <c r="C52" s="14" t="str">
        <f aca="false">IF(A52="","",IF($B$4=0,B52,$B$3*((1+$B$4/12)^(12*(A52-$B$5))-1)/($B$4/12)))</f>
        <v/>
      </c>
      <c r="D52" s="14" t="str">
        <f aca="false">IF(A52="","",$B$3*12*MAX(0,A52-$B$5-$B$7))</f>
        <v/>
      </c>
      <c r="E52" s="14" t="str">
        <f aca="false">IF(A52="","",IF($B$4=0,D52,$B$3*((1+$B$4/12)^(12*MAX(0,A52-$B$5-$B$7))-1)/($B$4/12)))</f>
        <v/>
      </c>
    </row>
    <row r="53" customFormat="false" ht="15" hidden="false" customHeight="false" outlineLevel="0" collapsed="false">
      <c r="A53" s="13" t="str">
        <f aca="false">IF($B$5+40&gt;$B$6,"",$B$5+40)</f>
        <v/>
      </c>
      <c r="B53" s="14" t="str">
        <f aca="false">IF(A53="","",$B$3*12*(A53-$B$5))</f>
        <v/>
      </c>
      <c r="C53" s="14" t="str">
        <f aca="false">IF(A53="","",IF($B$4=0,B53,$B$3*((1+$B$4/12)^(12*(A53-$B$5))-1)/($B$4/12)))</f>
        <v/>
      </c>
      <c r="D53" s="14" t="str">
        <f aca="false">IF(A53="","",$B$3*12*MAX(0,A53-$B$5-$B$7))</f>
        <v/>
      </c>
      <c r="E53" s="14" t="str">
        <f aca="false">IF(A53="","",IF($B$4=0,D53,$B$3*((1+$B$4/12)^(12*MAX(0,A53-$B$5-$B$7))-1)/($B$4/12)))</f>
        <v/>
      </c>
    </row>
    <row r="54" customFormat="false" ht="15" hidden="false" customHeight="false" outlineLevel="0" collapsed="false">
      <c r="A54" s="13" t="str">
        <f aca="false">IF($B$5+41&gt;$B$6,"",$B$5+41)</f>
        <v/>
      </c>
      <c r="B54" s="14" t="str">
        <f aca="false">IF(A54="","",$B$3*12*(A54-$B$5))</f>
        <v/>
      </c>
      <c r="C54" s="14" t="str">
        <f aca="false">IF(A54="","",IF($B$4=0,B54,$B$3*((1+$B$4/12)^(12*(A54-$B$5))-1)/($B$4/12)))</f>
        <v/>
      </c>
      <c r="D54" s="14" t="str">
        <f aca="false">IF(A54="","",$B$3*12*MAX(0,A54-$B$5-$B$7))</f>
        <v/>
      </c>
      <c r="E54" s="14" t="str">
        <f aca="false">IF(A54="","",IF($B$4=0,D54,$B$3*((1+$B$4/12)^(12*MAX(0,A54-$B$5-$B$7))-1)/($B$4/12)))</f>
        <v/>
      </c>
    </row>
    <row r="55" customFormat="false" ht="15" hidden="false" customHeight="false" outlineLevel="0" collapsed="false">
      <c r="A55" s="13" t="str">
        <f aca="false">IF($B$5+42&gt;$B$6,"",$B$5+42)</f>
        <v/>
      </c>
      <c r="B55" s="14" t="str">
        <f aca="false">IF(A55="","",$B$3*12*(A55-$B$5))</f>
        <v/>
      </c>
      <c r="C55" s="14" t="str">
        <f aca="false">IF(A55="","",IF($B$4=0,B55,$B$3*((1+$B$4/12)^(12*(A55-$B$5))-1)/($B$4/12)))</f>
        <v/>
      </c>
      <c r="D55" s="14" t="str">
        <f aca="false">IF(A55="","",$B$3*12*MAX(0,A55-$B$5-$B$7))</f>
        <v/>
      </c>
      <c r="E55" s="14" t="str">
        <f aca="false">IF(A55="","",IF($B$4=0,D55,$B$3*((1+$B$4/12)^(12*MAX(0,A55-$B$5-$B$7))-1)/($B$4/12)))</f>
        <v/>
      </c>
    </row>
    <row r="56" customFormat="false" ht="15" hidden="false" customHeight="false" outlineLevel="0" collapsed="false">
      <c r="A56" s="13" t="str">
        <f aca="false">IF($B$5+43&gt;$B$6,"",$B$5+43)</f>
        <v/>
      </c>
      <c r="B56" s="14" t="str">
        <f aca="false">IF(A56="","",$B$3*12*(A56-$B$5))</f>
        <v/>
      </c>
      <c r="C56" s="14" t="str">
        <f aca="false">IF(A56="","",IF($B$4=0,B56,$B$3*((1+$B$4/12)^(12*(A56-$B$5))-1)/($B$4/12)))</f>
        <v/>
      </c>
      <c r="D56" s="14" t="str">
        <f aca="false">IF(A56="","",$B$3*12*MAX(0,A56-$B$5-$B$7))</f>
        <v/>
      </c>
      <c r="E56" s="14" t="str">
        <f aca="false">IF(A56="","",IF($B$4=0,D56,$B$3*((1+$B$4/12)^(12*MAX(0,A56-$B$5-$B$7))-1)/($B$4/12)))</f>
        <v/>
      </c>
    </row>
    <row r="57" customFormat="false" ht="15" hidden="false" customHeight="false" outlineLevel="0" collapsed="false">
      <c r="A57" s="13" t="str">
        <f aca="false">IF($B$5+44&gt;$B$6,"",$B$5+44)</f>
        <v/>
      </c>
      <c r="B57" s="14" t="str">
        <f aca="false">IF(A57="","",$B$3*12*(A57-$B$5))</f>
        <v/>
      </c>
      <c r="C57" s="14" t="str">
        <f aca="false">IF(A57="","",IF($B$4=0,B57,$B$3*((1+$B$4/12)^(12*(A57-$B$5))-1)/($B$4/12)))</f>
        <v/>
      </c>
      <c r="D57" s="14" t="str">
        <f aca="false">IF(A57="","",$B$3*12*MAX(0,A57-$B$5-$B$7))</f>
        <v/>
      </c>
      <c r="E57" s="14" t="str">
        <f aca="false">IF(A57="","",IF($B$4=0,D57,$B$3*((1+$B$4/12)^(12*MAX(0,A57-$B$5-$B$7))-1)/($B$4/12)))</f>
        <v/>
      </c>
    </row>
    <row r="58" customFormat="false" ht="15" hidden="false" customHeight="false" outlineLevel="0" collapsed="false">
      <c r="A58" s="13" t="str">
        <f aca="false">IF($B$5+45&gt;$B$6,"",$B$5+45)</f>
        <v/>
      </c>
      <c r="B58" s="14" t="str">
        <f aca="false">IF(A58="","",$B$3*12*(A58-$B$5))</f>
        <v/>
      </c>
      <c r="C58" s="14" t="str">
        <f aca="false">IF(A58="","",IF($B$4=0,B58,$B$3*((1+$B$4/12)^(12*(A58-$B$5))-1)/($B$4/12)))</f>
        <v/>
      </c>
      <c r="D58" s="14" t="str">
        <f aca="false">IF(A58="","",$B$3*12*MAX(0,A58-$B$5-$B$7))</f>
        <v/>
      </c>
      <c r="E58" s="14" t="str">
        <f aca="false">IF(A58="","",IF($B$4=0,D58,$B$3*((1+$B$4/12)^(12*MAX(0,A58-$B$5-$B$7))-1)/($B$4/12)))</f>
        <v/>
      </c>
    </row>
    <row r="59" customFormat="false" ht="15" hidden="false" customHeight="false" outlineLevel="0" collapsed="false">
      <c r="A59" s="13" t="str">
        <f aca="false">IF($B$5+46&gt;$B$6,"",$B$5+46)</f>
        <v/>
      </c>
      <c r="B59" s="14" t="str">
        <f aca="false">IF(A59="","",$B$3*12*(A59-$B$5))</f>
        <v/>
      </c>
      <c r="C59" s="14" t="str">
        <f aca="false">IF(A59="","",IF($B$4=0,B59,$B$3*((1+$B$4/12)^(12*(A59-$B$5))-1)/($B$4/12)))</f>
        <v/>
      </c>
      <c r="D59" s="14" t="str">
        <f aca="false">IF(A59="","",$B$3*12*MAX(0,A59-$B$5-$B$7))</f>
        <v/>
      </c>
      <c r="E59" s="14" t="str">
        <f aca="false">IF(A59="","",IF($B$4=0,D59,$B$3*((1+$B$4/12)^(12*MAX(0,A59-$B$5-$B$7))-1)/($B$4/12)))</f>
        <v/>
      </c>
    </row>
    <row r="60" customFormat="false" ht="15" hidden="false" customHeight="false" outlineLevel="0" collapsed="false">
      <c r="A60" s="13" t="str">
        <f aca="false">IF($B$5+47&gt;$B$6,"",$B$5+47)</f>
        <v/>
      </c>
      <c r="B60" s="14" t="str">
        <f aca="false">IF(A60="","",$B$3*12*(A60-$B$5))</f>
        <v/>
      </c>
      <c r="C60" s="14" t="str">
        <f aca="false">IF(A60="","",IF($B$4=0,B60,$B$3*((1+$B$4/12)^(12*(A60-$B$5))-1)/($B$4/12)))</f>
        <v/>
      </c>
      <c r="D60" s="14" t="str">
        <f aca="false">IF(A60="","",$B$3*12*MAX(0,A60-$B$5-$B$7))</f>
        <v/>
      </c>
      <c r="E60" s="14" t="str">
        <f aca="false">IF(A60="","",IF($B$4=0,D60,$B$3*((1+$B$4/12)^(12*MAX(0,A60-$B$5-$B$7))-1)/($B$4/12)))</f>
        <v/>
      </c>
    </row>
    <row r="61" customFormat="false" ht="15" hidden="false" customHeight="false" outlineLevel="0" collapsed="false">
      <c r="A61" s="13" t="str">
        <f aca="false">IF($B$5+48&gt;$B$6,"",$B$5+48)</f>
        <v/>
      </c>
      <c r="B61" s="14" t="str">
        <f aca="false">IF(A61="","",$B$3*12*(A61-$B$5))</f>
        <v/>
      </c>
      <c r="C61" s="14" t="str">
        <f aca="false">IF(A61="","",IF($B$4=0,B61,$B$3*((1+$B$4/12)^(12*(A61-$B$5))-1)/($B$4/12)))</f>
        <v/>
      </c>
      <c r="D61" s="14" t="str">
        <f aca="false">IF(A61="","",$B$3*12*MAX(0,A61-$B$5-$B$7))</f>
        <v/>
      </c>
      <c r="E61" s="14" t="str">
        <f aca="false">IF(A61="","",IF($B$4=0,D61,$B$3*((1+$B$4/12)^(12*MAX(0,A61-$B$5-$B$7))-1)/($B$4/12)))</f>
        <v/>
      </c>
    </row>
    <row r="62" customFormat="false" ht="15" hidden="false" customHeight="false" outlineLevel="0" collapsed="false">
      <c r="A62" s="13" t="str">
        <f aca="false">IF($B$5+49&gt;$B$6,"",$B$5+49)</f>
        <v/>
      </c>
      <c r="B62" s="14" t="str">
        <f aca="false">IF(A62="","",$B$3*12*(A62-$B$5))</f>
        <v/>
      </c>
      <c r="C62" s="14" t="str">
        <f aca="false">IF(A62="","",IF($B$4=0,B62,$B$3*((1+$B$4/12)^(12*(A62-$B$5))-1)/($B$4/12)))</f>
        <v/>
      </c>
      <c r="D62" s="14" t="str">
        <f aca="false">IF(A62="","",$B$3*12*MAX(0,A62-$B$5-$B$7))</f>
        <v/>
      </c>
      <c r="E62" s="14" t="str">
        <f aca="false">IF(A62="","",IF($B$4=0,D62,$B$3*((1+$B$4/12)^(12*MAX(0,A62-$B$5-$B$7))-1)/($B$4/12)))</f>
        <v/>
      </c>
    </row>
    <row r="63" customFormat="false" ht="15" hidden="false" customHeight="false" outlineLevel="0" collapsed="false">
      <c r="A63" s="13" t="str">
        <f aca="false">IF($B$5+50&gt;$B$6,"",$B$5+50)</f>
        <v/>
      </c>
      <c r="B63" s="14" t="str">
        <f aca="false">IF(A63="","",$B$3*12*(A63-$B$5))</f>
        <v/>
      </c>
      <c r="C63" s="14" t="str">
        <f aca="false">IF(A63="","",IF($B$4=0,B63,$B$3*((1+$B$4/12)^(12*(A63-$B$5))-1)/($B$4/12)))</f>
        <v/>
      </c>
      <c r="D63" s="14" t="str">
        <f aca="false">IF(A63="","",$B$3*12*MAX(0,A63-$B$5-$B$7))</f>
        <v/>
      </c>
      <c r="E63" s="14" t="str">
        <f aca="false">IF(A63="","",IF($B$4=0,D63,$B$3*((1+$B$4/12)^(12*MAX(0,A63-$B$5-$B$7))-1)/($B$4/12)))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