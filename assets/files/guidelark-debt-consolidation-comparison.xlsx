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Compa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<sst xmlns="http://schemas.openxmlformats.org/spreadsheetml/2006/main" count="44" uniqueCount="42">
  <si>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Debt consolidation vs balance transfer calculator</t>
  </si>
  <si>
    <t xml:space="preserve">How to use it</t>
  </si>
  <si>
    <t xml:space="preserve">1. Type your card balance, its APR and the monthly payment you can afford.</t>
  </si>
  <si>
    <t xml:space="preserve">2. Fill in the balance transfer offer: fee, 0% months, the rate after the promo, and what you will really pay each month.</t>
  </si>
  <si>
    <t xml:space="preserve">3. Fill in the loan offer: APR and term.</t>
  </si>
  <si>
    <t xml:space="preserve">4. The comparison at the bottom shows total interest and fees for each option.</t>
  </si>
  <si>
    <t xml:space="preserve">Estimates use simple monthly interest. Real offers can include other fees, so read the terms.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</si>
  <si>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</si>
  <si>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</si>
  <si>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https://guidelark.com/blog/debt-consolidation-vs-balance-transfer/</t>
  </si>
  <si>
    <t xml:space="preserve">Free to use and share. General information, not financial advice.</t>
  </si>
  <si>
    <t xml:space="preserve">Three ways to pay off one card balance</t>
  </si>
  <si>
    <t xml:space="preserve">Card balance</t>
  </si>
  <si>
    <t xml:space="preserve">Card APR</t>
  </si>
  <si>
    <t xml:space="preserve">Monthly payment on the card</t>
  </si>
  <si>
    <t xml:space="preserve">Option 1: stay on the card</t>
  </si>
  <si>
    <t xml:space="preserve">Months to clear</t>
  </si>
  <si>
    <t xml:space="preserve">Total paid</t>
  </si>
  <si>
    <t xml:space="preserve">Interest paid</t>
  </si>
  <si>
    <t xml:space="preserve">Option 2: 0% balance transfer</t>
  </si>
  <si>
    <t xml:space="preserve">Transfer fee</t>
  </si>
  <si>
    <t xml:space="preserve">0% promo months</t>
  </si>
  <si>
    <t xml:space="preserve">APR after the promo</t>
  </si>
  <si>
    <t xml:space="preserve">Monthly payment you will really make</t>
  </si>
  <si>
    <t xml:space="preserve">Try $250 to see what happens if you pay too little.</t>
  </si>
  <si>
    <t xml:space="preserve">New balance with the fee</t>
  </si>
  <si>
    <t xml:space="preserve">Payment needed to clear it in the promo</t>
  </si>
  <si>
    <t xml:space="preserve">Left when the promo ends</t>
  </si>
  <si>
    <t xml:space="preserve">Extra months after the promo</t>
  </si>
  <si>
    <t xml:space="preserve">Interest after the promo</t>
  </si>
  <si>
    <t xml:space="preserve">Fee plus interest</t>
  </si>
  <si>
    <t xml:space="preserve">Option 3: consolidation loan</t>
  </si>
  <si>
    <t xml:space="preserve">Loan APR</t>
  </si>
  <si>
    <t xml:space="preserve">Loan term (months)</t>
  </si>
  <si>
    <t xml:space="preserve">Origination fee</t>
  </si>
  <si>
    <t xml:space="preserve">Monthly payment</t>
  </si>
  <si>
    <t xml:space="preserve">Interest plus fee</t>
  </si>
  <si>
    <t xml:space="preserve">Side by side</t>
  </si>
  <si>
    <t xml:space="preserve">Interest and fees</t>
  </si>
  <si>
    <t xml:space="preserve">Stay on the card</t>
  </si>
  <si>
    <t xml:space="preserve">Balance transfer</t>
  </si>
  <si>
    <t xml:space="preserve">Consolidation loan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</si>
</sst>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11</v>
      </c>
    </row>
    <row r="3" customFormat="false" ht="15" hidden="false" customHeight="false" outlineLevel="0" collapsed="false">
      <c r="A3" s="4" t="s">
        <v>12</v>
      </c>
      <c r="B3" s="5" t="n">
        <v>6000</v>
      </c>
    </row>
    <row r="4" customFormat="false" ht="15" hidden="false" customHeight="false" outlineLevel="0" collapsed="false">
      <c r="A4" s="4" t="s">
        <v>13</v>
      </c>
      <c r="B4" s="6" t="n">
        <v>0.24</v>
      </c>
    </row>
    <row r="5" customFormat="false" ht="15" hidden="false" customHeight="false" outlineLevel="0" collapsed="false">
      <c r="A5" s="4" t="s">
        <v>14</v>
      </c>
      <c r="B5" s="5" t="n">
        <v>300</v>
      </c>
    </row>
    <row r="7" customFormat="false" ht="15" hidden="false" customHeight="false" outlineLevel="0" collapsed="false">
      <c r="A7" s="2" t="s">
        <v>15</v>
      </c>
    </row>
    <row r="8" customFormat="false" ht="15" hidden="false" customHeight="false" outlineLevel="0" collapsed="false">
      <c r="A8" s="4" t="s">
        <v>16</v>
      </c>
      <c r="B8" s="4" t="n">
        <f aca="false">IF(B5&lt;=B3*B4/12,"Never at this payment",ROUNDUP(NPER(B4/12,-B5,B3),0))</f>
        <v>26</v>
      </c>
    </row>
    <row r="9" customFormat="false" ht="15" hidden="false" customHeight="false" outlineLevel="0" collapsed="false">
      <c r="A9" s="4" t="s">
        <v>17</v>
      </c>
      <c r="B9" s="7" t="n">
        <f aca="false">IF(ISNUMBER(B8),B5*(B8-1)+FV(B4/12,B8-1,B5,-B3)*(1+B4/12),"")</f>
        <v>7739.23697081377</v>
      </c>
    </row>
    <row r="10" customFormat="false" ht="15" hidden="false" customHeight="false" outlineLevel="0" collapsed="false">
      <c r="A10" s="4" t="s">
        <v>18</v>
      </c>
      <c r="B10" s="8" t="n">
        <f aca="false">IF(ISNUMBER(B9),B9-B3,"")</f>
        <v>1739.23697081377</v>
      </c>
    </row>
    <row r="12" customFormat="false" ht="15" hidden="false" customHeight="false" outlineLevel="0" collapsed="false">
      <c r="A12" s="2" t="s">
        <v>19</v>
      </c>
    </row>
    <row r="13" customFormat="false" ht="15" hidden="false" customHeight="false" outlineLevel="0" collapsed="false">
      <c r="A13" s="4" t="s">
        <v>20</v>
      </c>
      <c r="B13" s="6" t="n">
        <v>0.04</v>
      </c>
    </row>
    <row r="14" customFormat="false" ht="15" hidden="false" customHeight="false" outlineLevel="0" collapsed="false">
      <c r="A14" s="4" t="s">
        <v>21</v>
      </c>
      <c r="B14" s="9" t="n">
        <v>18</v>
      </c>
    </row>
    <row r="15" customFormat="false" ht="15" hidden="false" customHeight="false" outlineLevel="0" collapsed="false">
      <c r="A15" s="4" t="s">
        <v>22</v>
      </c>
      <c r="B15" s="6" t="n">
        <v>0.26</v>
      </c>
    </row>
    <row r="16" customFormat="false" ht="15" hidden="false" customHeight="false" outlineLevel="0" collapsed="false">
      <c r="A16" s="4" t="s">
        <v>23</v>
      </c>
      <c r="B16" s="5" t="n">
        <v>347</v>
      </c>
      <c r="C16" s="10" t="s">
        <v>24</v>
      </c>
    </row>
    <row r="17" customFormat="false" ht="15" hidden="false" customHeight="false" outlineLevel="0" collapsed="false">
      <c r="A17" s="4" t="s">
        <v>25</v>
      </c>
      <c r="B17" s="7" t="n">
        <f aca="false">B3*(1+B13)</f>
        <v>6240</v>
      </c>
    </row>
    <row r="18" customFormat="false" ht="15" hidden="false" customHeight="false" outlineLevel="0" collapsed="false">
      <c r="A18" s="4" t="s">
        <v>26</v>
      </c>
      <c r="B18" s="8" t="n">
        <f aca="false">B17/B14</f>
        <v>346.666666666667</v>
      </c>
    </row>
    <row r="19" customFormat="false" ht="15" hidden="false" customHeight="false" outlineLevel="0" collapsed="false">
      <c r="A19" s="4" t="s">
        <v>27</v>
      </c>
      <c r="B19" s="8" t="n">
        <f aca="false">MAX(0,B17-B16*B14)</f>
        <v>0</v>
      </c>
    </row>
    <row r="20" customFormat="false" ht="15" hidden="false" customHeight="false" outlineLevel="0" collapsed="false">
      <c r="A20" s="4" t="s">
        <v>28</v>
      </c>
      <c r="B20" s="3" t="n">
        <f aca="false">IF(B19=0,0,IF(B16&lt;=B19*B15/12,"Never at this payment",ROUNDUP(NPER(B15/12,-B16,B19),0)))</f>
        <v>0</v>
      </c>
    </row>
    <row r="21" customFormat="false" ht="15" hidden="false" customHeight="false" outlineLevel="0" collapsed="false">
      <c r="A21" s="4" t="s">
        <v>29</v>
      </c>
      <c r="B21" s="7" t="n">
        <f aca="false">IF(B19=0,0,IF(ISNUMBER(B20),B16*(B20-1)+FV(B15/12,B20-1,B16,-B19)*(1+B15/12)-B19,""))</f>
        <v>0</v>
      </c>
    </row>
    <row r="22" customFormat="false" ht="15" hidden="false" customHeight="false" outlineLevel="0" collapsed="false">
      <c r="A22" s="4" t="s">
        <v>30</v>
      </c>
      <c r="B22" s="8" t="n">
        <f aca="false">IF(ISNUMBER(B21),B3*B13+B21,"")</f>
        <v>240</v>
      </c>
    </row>
    <row r="24" customFormat="false" ht="15" hidden="false" customHeight="false" outlineLevel="0" collapsed="false">
      <c r="A24" s="2" t="s">
        <v>31</v>
      </c>
    </row>
    <row r="25" customFormat="false" ht="15" hidden="false" customHeight="false" outlineLevel="0" collapsed="false">
      <c r="A25" s="4" t="s">
        <v>32</v>
      </c>
      <c r="B25" s="6" t="n">
        <v>0.12</v>
      </c>
    </row>
    <row r="26" customFormat="false" ht="15" hidden="false" customHeight="false" outlineLevel="0" collapsed="false">
      <c r="A26" s="4" t="s">
        <v>33</v>
      </c>
      <c r="B26" s="9" t="n">
        <v>36</v>
      </c>
    </row>
    <row r="27" customFormat="false" ht="15" hidden="false" customHeight="false" outlineLevel="0" collapsed="false">
      <c r="A27" s="4" t="s">
        <v>34</v>
      </c>
      <c r="B27" s="6" t="n">
        <v>0</v>
      </c>
    </row>
    <row r="28" customFormat="false" ht="15" hidden="false" customHeight="false" outlineLevel="0" collapsed="false">
      <c r="A28" s="4" t="s">
        <v>35</v>
      </c>
      <c r="B28" s="8" t="n">
        <f aca="false">PMT(B25/12,B26,-B3)</f>
        <v>199.285858877107</v>
      </c>
    </row>
    <row r="29" customFormat="false" ht="15" hidden="false" customHeight="false" outlineLevel="0" collapsed="false">
      <c r="A29" s="4" t="s">
        <v>36</v>
      </c>
      <c r="B29" s="8" t="n">
        <f aca="false">B28*B26-B3+B3*B27</f>
        <v>1174.29091957586</v>
      </c>
    </row>
    <row r="31" customFormat="false" ht="30" hidden="false" customHeight="true" outlineLevel="0" collapsed="false">
      <c r="A31" s="11" t="s">
        <v>37</v>
      </c>
      <c r="B31" s="12" t="s">
        <v>35</v>
      </c>
      <c r="C31" s="12" t="s">
        <v>38</v>
      </c>
      <c r="D31" s="12" t="s">
        <v>17</v>
      </c>
    </row>
    <row r="32" customFormat="false" ht="15" hidden="false" customHeight="false" outlineLevel="0" collapsed="false">
      <c r="A32" s="13" t="s">
        <v>39</v>
      </c>
      <c r="B32" s="14" t="n">
        <f aca="false">B5</f>
        <v>300</v>
      </c>
      <c r="C32" s="14" t="n">
        <f aca="false">B10</f>
        <v>1739.23697081377</v>
      </c>
      <c r="D32" s="14" t="n">
        <f aca="false">IF(ISNUMBER(C32),$B$3+C32,"")</f>
        <v>7739.23697081377</v>
      </c>
    </row>
    <row r="33" customFormat="false" ht="15" hidden="false" customHeight="false" outlineLevel="0" collapsed="false">
      <c r="A33" s="13" t="s">
        <v>40</v>
      </c>
      <c r="B33" s="14" t="n">
        <f aca="false">B16</f>
        <v>347</v>
      </c>
      <c r="C33" s="14" t="n">
        <f aca="false">B22</f>
        <v>240</v>
      </c>
      <c r="D33" s="14" t="n">
        <f aca="false">IF(ISNUMBER(C33),$B$3+C33,"")</f>
        <v>6240</v>
      </c>
    </row>
    <row r="34" customFormat="false" ht="15" hidden="false" customHeight="false" outlineLevel="0" collapsed="false">
      <c r="A34" s="13" t="s">
        <v>41</v>
      </c>
      <c r="B34" s="14" t="n">
        <f aca="false">B28</f>
        <v>199.285858877107</v>
      </c>
      <c r="C34" s="14" t="n">
        <f aca="false">B29</f>
        <v>1174.29091957586</v>
      </c>
      <c r="D34" s="14" t="n">
        <f aca="false">IF(ISNUMBER(C34),$B$3+C34,"")</f>
        <v>7174.29091957586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