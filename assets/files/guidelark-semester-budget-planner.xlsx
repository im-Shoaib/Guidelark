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tart here" sheetId="1" state="visible" r:id="rId3"/>
    <sheet name="Term" sheetId="2" state="visible" r:id="rId4"/>
    <sheet name="Weekly shape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<sst xmlns="http://schemas.openxmlformats.org/spreadsheetml/2006/main" count="43" uniqueCount="41">
  <si>
    <t xml:space="preserve">Semester budget planner</t>
  </si>
  <si>
    <t xml:space="preserve">How to use it</t>
  </si>
  <si>
    <t xml:space="preserve">1. Type the money you have for the whole term (aid refund, savings, family help, pay you can count on).</t>
  </si>
  <si>
    <t xml:space="preserve">2. List the big one-off costs (books, fees, travel) and set them aside first.</t>
  </si>
  <si>
    <t xml:space="preserve">3. The sheet divides what is left by the weeks in the term. Pick a weekly allowance a little under that.</t>
  </si>
  <si>
    <t xml:space="preserve">4. Each week, type what you actually spent. "Ahead or behind" shows if you are on pace.</t>
  </si>
  <si>
    <t xml:space="preserve">Yellow cells are for you to type in. White cells calculate automatically, so leave them alone.</t>
  </si>
  <si>
    <t xml:space="preserve">The example numbers only show the format. Replace them with your own.</t>
  </si>
  <si>
    <t xml:space="preserve">Step-by-step guide: https://guidelark.com/blog/budget-as-a-student/</t>
  </si>
  <si>
    <t xml:space="preserve">Free to use and share. General information, not financial advice.</t>
  </si>
  <si>
    <t xml:space="preserve">Semester budget</t>
  </si>
  <si>
    <t xml:space="preserve">Money for the term</t>
  </si>
  <si>
    <t xml:space="preserve">Amount</t>
  </si>
  <si>
    <t xml:space="preserve">Aid refund</t>
  </si>
  <si>
    <t xml:space="preserve">Summer savings</t>
  </si>
  <si>
    <t xml:space="preserve">Total money</t>
  </si>
  <si>
    <t xml:space="preserve">Set aside first</t>
  </si>
  <si>
    <t xml:space="preserve">Books and course materials</t>
  </si>
  <si>
    <t xml:space="preserve">Course fees</t>
  </si>
  <si>
    <t xml:space="preserve">Ticket home</t>
  </si>
  <si>
    <t xml:space="preserve">Total set aside</t>
  </si>
  <si>
    <t xml:space="preserve">Weeks in the term</t>
  </si>
  <si>
    <t xml:space="preserve">Left to spread across the term</t>
  </si>
  <si>
    <t xml:space="preserve">Most you could spend each week</t>
  </si>
  <si>
    <t xml:space="preserve">Weekly allowance you choose</t>
  </si>
  <si>
    <t xml:space="preserve">A round number a little under the line above.</t>
  </si>
  <si>
    <t xml:space="preserve">Cushion at the end of term</t>
  </si>
  <si>
    <t xml:space="preserve">Week</t>
  </si>
  <si>
    <t xml:space="preserve">Allowance</t>
  </si>
  <si>
    <t xml:space="preserve">Actually spent</t>
  </si>
  <si>
    <t xml:space="preserve">Ahead or behind (running)</t>
  </si>
  <si>
    <t xml:space="preserve">Split the weekly allowance</t>
  </si>
  <si>
    <t xml:space="preserve">Loose guides, not rules. Adjust to your week.</t>
  </si>
  <si>
    <t xml:space="preserve">Part of the week</t>
  </si>
  <si>
    <t xml:space="preserve">Groceries and household bits</t>
  </si>
  <si>
    <t xml:space="preserve">Transport</t>
  </si>
  <si>
    <t xml:space="preserve">Eating out and social life</t>
  </si>
  <si>
    <t xml:space="preserve">Personal items and laundry</t>
  </si>
  <si>
    <t xml:space="preserve">Buffer (leave it alone)</t>
  </si>
  <si>
    <t xml:space="preserve">Total</t>
  </si>
  <si>
    <t xml:space="preserve">Difference from your allowance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</si>
</sst>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.00;[RED]&quot;-$&quot;#,##0.00;\-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5607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4213D"/>
        <bgColor rgb="FF003366"/>
      </patternFill>
    </fill>
    <fill>
      <patternFill patternType="solid">
        <fgColor rgb="FFFFF4B8"/>
        <bgColor rgb="FFFFFF99"/>
      </patternFill>
    </fill>
    <fill>
      <patternFill patternType="solid">
        <fgColor rgb="FFE4EFE0"/>
        <bgColor rgb="FFFFF4B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6D4C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F6B9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D4C3"/>
      <rgbColor rgb="FF808080"/>
      <rgbColor rgb="FF9999FF"/>
      <rgbColor rgb="FF993366"/>
      <rgbColor rgb="FFFFF4B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4EFE0"/>
      <rgbColor rgb="FFFFFF99"/>
      <rgbColor rgb="FF99CCFF"/>
      <rgbColor rgb="FFFF99CC"/>
      <rgbColor rgb="FFCC99FF"/>
      <rgbColor rgb="FFF6B9A6"/>
      <rgbColor rgb="FF3366FF"/>
      <rgbColor rgb="FF33CCCC"/>
      <rgbColor rgb="FF99CC00"/>
      <rgbColor rgb="FFFFCC00"/>
      <rgbColor rgb="FFFF9900"/>
      <rgbColor rgb="FFFF6600"/>
      <rgbColor rgb="FF55607A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421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3" t="s">
        <v>4</v>
      </c>
    </row>
    <row r="7" customFormat="false" ht="15" hidden="false" customHeight="false" outlineLevel="0" collapsed="false">
      <c r="A7" s="3" t="s">
        <v>5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3" t="s">
        <v>7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8</v>
      </c>
    </row>
    <row r="13" customFormat="false" ht="15" hidden="false" customHeight="false" outlineLevel="0" collapsed="false">
      <c r="A13" s="3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4"/>
  </cols>
  <sheetData>
    <row r="1" customFormat="false" ht="19.7" hidden="false" customHeight="false" outlineLevel="0" collapsed="false">
      <c r="A1" s="1" t="s">
        <v>10</v>
      </c>
    </row>
    <row r="3" customFormat="false" ht="15" hidden="false" customHeight="false" outlineLevel="0" collapsed="false">
      <c r="A3" s="4" t="s">
        <v>11</v>
      </c>
      <c r="B3" s="5" t="s">
        <v>12</v>
      </c>
    </row>
    <row r="4" customFormat="false" ht="15" hidden="false" customHeight="false" outlineLevel="0" collapsed="false">
      <c r="A4" s="6" t="s">
        <v>13</v>
      </c>
      <c r="B4" s="7" t="n">
        <v>3000</v>
      </c>
    </row>
    <row r="5" customFormat="false" ht="15" hidden="false" customHeight="false" outlineLevel="0" collapsed="false">
      <c r="A5" s="6" t="s">
        <v>14</v>
      </c>
      <c r="B5" s="7" t="n">
        <v>600</v>
      </c>
    </row>
    <row r="6" customFormat="false" ht="15" hidden="false" customHeight="false" outlineLevel="0" collapsed="false">
      <c r="A6" s="6"/>
      <c r="B6" s="7"/>
    </row>
    <row r="7" customFormat="false" ht="15" hidden="false" customHeight="false" outlineLevel="0" collapsed="false">
      <c r="A7" s="6"/>
      <c r="B7" s="7"/>
    </row>
    <row r="8" customFormat="false" ht="15" hidden="false" customHeight="false" outlineLevel="0" collapsed="false">
      <c r="A8" s="8" t="s">
        <v>15</v>
      </c>
      <c r="B8" s="9" t="n">
        <f aca="false">SUM(B4:B7)</f>
        <v>3600</v>
      </c>
    </row>
    <row r="10" customFormat="false" ht="15" hidden="false" customHeight="false" outlineLevel="0" collapsed="false">
      <c r="A10" s="4" t="s">
        <v>16</v>
      </c>
      <c r="B10" s="5" t="s">
        <v>12</v>
      </c>
    </row>
    <row r="11" customFormat="false" ht="15" hidden="false" customHeight="false" outlineLevel="0" collapsed="false">
      <c r="A11" s="6" t="s">
        <v>17</v>
      </c>
      <c r="B11" s="7" t="n">
        <v>250</v>
      </c>
    </row>
    <row r="12" customFormat="false" ht="15" hidden="false" customHeight="false" outlineLevel="0" collapsed="false">
      <c r="A12" s="6" t="s">
        <v>18</v>
      </c>
      <c r="B12" s="7" t="n">
        <v>60</v>
      </c>
    </row>
    <row r="13" customFormat="false" ht="15" hidden="false" customHeight="false" outlineLevel="0" collapsed="false">
      <c r="A13" s="6" t="s">
        <v>19</v>
      </c>
      <c r="B13" s="7" t="n">
        <v>180</v>
      </c>
    </row>
    <row r="14" customFormat="false" ht="15" hidden="false" customHeight="false" outlineLevel="0" collapsed="false">
      <c r="A14" s="6"/>
      <c r="B14" s="7"/>
    </row>
    <row r="15" customFormat="false" ht="15" hidden="false" customHeight="false" outlineLevel="0" collapsed="false">
      <c r="A15" s="6"/>
      <c r="B15" s="7"/>
    </row>
    <row r="16" customFormat="false" ht="15" hidden="false" customHeight="false" outlineLevel="0" collapsed="false">
      <c r="A16" s="8" t="s">
        <v>20</v>
      </c>
      <c r="B16" s="9" t="n">
        <f aca="false">SUM(B11:B15)</f>
        <v>490</v>
      </c>
    </row>
    <row r="18" customFormat="false" ht="15" hidden="false" customHeight="false" outlineLevel="0" collapsed="false">
      <c r="A18" s="10" t="s">
        <v>21</v>
      </c>
      <c r="B18" s="11" t="n">
        <v>15</v>
      </c>
    </row>
    <row r="19" customFormat="false" ht="15" hidden="false" customHeight="false" outlineLevel="0" collapsed="false">
      <c r="A19" s="10" t="s">
        <v>22</v>
      </c>
      <c r="B19" s="12" t="n">
        <f aca="false">B8-B16</f>
        <v>3110</v>
      </c>
    </row>
    <row r="20" customFormat="false" ht="15" hidden="false" customHeight="false" outlineLevel="0" collapsed="false">
      <c r="A20" s="10" t="s">
        <v>23</v>
      </c>
      <c r="B20" s="12" t="n">
        <f aca="false">IF(B18=0,"",B19/B18)</f>
        <v>207.333333333333</v>
      </c>
    </row>
    <row r="21" customFormat="false" ht="15" hidden="false" customHeight="false" outlineLevel="0" collapsed="false">
      <c r="A21" s="10" t="s">
        <v>24</v>
      </c>
      <c r="B21" s="13" t="n">
        <v>200</v>
      </c>
      <c r="C21" s="14" t="s">
        <v>25</v>
      </c>
    </row>
    <row r="22" customFormat="false" ht="15" hidden="false" customHeight="false" outlineLevel="0" collapsed="false">
      <c r="A22" s="10" t="s">
        <v>26</v>
      </c>
      <c r="B22" s="15" t="n">
        <f aca="false">B19-B21*B18</f>
        <v>110</v>
      </c>
    </row>
    <row r="24" customFormat="false" ht="26.85" hidden="false" customHeight="false" outlineLevel="0" collapsed="false">
      <c r="A24" s="4" t="s">
        <v>27</v>
      </c>
      <c r="B24" s="5" t="s">
        <v>28</v>
      </c>
      <c r="C24" s="5" t="s">
        <v>29</v>
      </c>
      <c r="D24" s="5" t="s">
        <v>30</v>
      </c>
    </row>
    <row r="25" customFormat="false" ht="15" hidden="false" customHeight="false" outlineLevel="0" collapsed="false">
      <c r="A25" s="16" t="n">
        <f aca="false">IF(1&gt;$B$18,"",1)</f>
        <v>1</v>
      </c>
      <c r="B25" s="17" t="n">
        <f aca="false">IF(A25="","",$B$21)</f>
        <v>200</v>
      </c>
      <c r="C25" s="7" t="n">
        <v>188</v>
      </c>
      <c r="D25" s="17" t="n">
        <f aca="false">IF(OR(A25="",C25=""),"",SUM($B$25:B25)-SUM($C$25:C25))</f>
        <v>12</v>
      </c>
    </row>
    <row r="26" customFormat="false" ht="15" hidden="false" customHeight="false" outlineLevel="0" collapsed="false">
      <c r="A26" s="16" t="n">
        <f aca="false">IF(2&gt;$B$18,"",2)</f>
        <v>2</v>
      </c>
      <c r="B26" s="17" t="n">
        <f aca="false">IF(A26="","",$B$21)</f>
        <v>200</v>
      </c>
      <c r="C26" s="7" t="n">
        <v>214</v>
      </c>
      <c r="D26" s="17" t="n">
        <f aca="false">IF(OR(A26="",C26=""),"",SUM($B$25:B26)-SUM($C$25:C26))</f>
        <v>-2</v>
      </c>
    </row>
    <row r="27" customFormat="false" ht="15" hidden="false" customHeight="false" outlineLevel="0" collapsed="false">
      <c r="A27" s="16" t="n">
        <f aca="false">IF(3&gt;$B$18,"",3)</f>
        <v>3</v>
      </c>
      <c r="B27" s="17" t="n">
        <f aca="false">IF(A27="","",$B$21)</f>
        <v>200</v>
      </c>
      <c r="C27" s="7" t="n">
        <v>196</v>
      </c>
      <c r="D27" s="17" t="n">
        <f aca="false">IF(OR(A27="",C27=""),"",SUM($B$25:B27)-SUM($C$25:C27))</f>
        <v>2</v>
      </c>
    </row>
    <row r="28" customFormat="false" ht="15" hidden="false" customHeight="false" outlineLevel="0" collapsed="false">
      <c r="A28" s="16" t="n">
        <f aca="false">IF(4&gt;$B$18,"",4)</f>
        <v>4</v>
      </c>
      <c r="B28" s="17" t="n">
        <f aca="false">IF(A28="","",$B$21)</f>
        <v>200</v>
      </c>
      <c r="C28" s="7" t="n">
        <v>205</v>
      </c>
      <c r="D28" s="17" t="n">
        <f aca="false">IF(OR(A28="",C28=""),"",SUM($B$25:B28)-SUM($C$25:C28))</f>
        <v>-3</v>
      </c>
    </row>
    <row r="29" customFormat="false" ht="15" hidden="false" customHeight="false" outlineLevel="0" collapsed="false">
      <c r="A29" s="16" t="n">
        <f aca="false">IF(5&gt;$B$18,"",5)</f>
        <v>5</v>
      </c>
      <c r="B29" s="17" t="n">
        <f aca="false">IF(A29="","",$B$21)</f>
        <v>200</v>
      </c>
      <c r="C29" s="7"/>
      <c r="D29" s="17" t="str">
        <f aca="false">IF(OR(A29="",C29=""),"",SUM($B$25:B29)-SUM($C$25:C29))</f>
        <v/>
      </c>
    </row>
    <row r="30" customFormat="false" ht="15" hidden="false" customHeight="false" outlineLevel="0" collapsed="false">
      <c r="A30" s="16" t="n">
        <f aca="false">IF(6&gt;$B$18,"",6)</f>
        <v>6</v>
      </c>
      <c r="B30" s="17" t="n">
        <f aca="false">IF(A30="","",$B$21)</f>
        <v>200</v>
      </c>
      <c r="C30" s="7"/>
      <c r="D30" s="17" t="str">
        <f aca="false">IF(OR(A30="",C30=""),"",SUM($B$25:B30)-SUM($C$25:C30))</f>
        <v/>
      </c>
    </row>
    <row r="31" customFormat="false" ht="15" hidden="false" customHeight="false" outlineLevel="0" collapsed="false">
      <c r="A31" s="16" t="n">
        <f aca="false">IF(7&gt;$B$18,"",7)</f>
        <v>7</v>
      </c>
      <c r="B31" s="17" t="n">
        <f aca="false">IF(A31="","",$B$21)</f>
        <v>200</v>
      </c>
      <c r="C31" s="7"/>
      <c r="D31" s="17" t="str">
        <f aca="false">IF(OR(A31="",C31=""),"",SUM($B$25:B31)-SUM($C$25:C31))</f>
        <v/>
      </c>
    </row>
    <row r="32" customFormat="false" ht="15" hidden="false" customHeight="false" outlineLevel="0" collapsed="false">
      <c r="A32" s="16" t="n">
        <f aca="false">IF(8&gt;$B$18,"",8)</f>
        <v>8</v>
      </c>
      <c r="B32" s="17" t="n">
        <f aca="false">IF(A32="","",$B$21)</f>
        <v>200</v>
      </c>
      <c r="C32" s="7"/>
      <c r="D32" s="17" t="str">
        <f aca="false">IF(OR(A32="",C32=""),"",SUM($B$25:B32)-SUM($C$25:C32))</f>
        <v/>
      </c>
    </row>
    <row r="33" customFormat="false" ht="15" hidden="false" customHeight="false" outlineLevel="0" collapsed="false">
      <c r="A33" s="16" t="n">
        <f aca="false">IF(9&gt;$B$18,"",9)</f>
        <v>9</v>
      </c>
      <c r="B33" s="17" t="n">
        <f aca="false">IF(A33="","",$B$21)</f>
        <v>200</v>
      </c>
      <c r="C33" s="7"/>
      <c r="D33" s="17" t="str">
        <f aca="false">IF(OR(A33="",C33=""),"",SUM($B$25:B33)-SUM($C$25:C33))</f>
        <v/>
      </c>
    </row>
    <row r="34" customFormat="false" ht="15" hidden="false" customHeight="false" outlineLevel="0" collapsed="false">
      <c r="A34" s="16" t="n">
        <f aca="false">IF(10&gt;$B$18,"",10)</f>
        <v>10</v>
      </c>
      <c r="B34" s="17" t="n">
        <f aca="false">IF(A34="","",$B$21)</f>
        <v>200</v>
      </c>
      <c r="C34" s="7"/>
      <c r="D34" s="17" t="str">
        <f aca="false">IF(OR(A34="",C34=""),"",SUM($B$25:B34)-SUM($C$25:C34))</f>
        <v/>
      </c>
    </row>
    <row r="35" customFormat="false" ht="15" hidden="false" customHeight="false" outlineLevel="0" collapsed="false">
      <c r="A35" s="16" t="n">
        <f aca="false">IF(11&gt;$B$18,"",11)</f>
        <v>11</v>
      </c>
      <c r="B35" s="17" t="n">
        <f aca="false">IF(A35="","",$B$21)</f>
        <v>200</v>
      </c>
      <c r="C35" s="7"/>
      <c r="D35" s="17" t="str">
        <f aca="false">IF(OR(A35="",C35=""),"",SUM($B$25:B35)-SUM($C$25:C35))</f>
        <v/>
      </c>
    </row>
    <row r="36" customFormat="false" ht="15" hidden="false" customHeight="false" outlineLevel="0" collapsed="false">
      <c r="A36" s="16" t="n">
        <f aca="false">IF(12&gt;$B$18,"",12)</f>
        <v>12</v>
      </c>
      <c r="B36" s="17" t="n">
        <f aca="false">IF(A36="","",$B$21)</f>
        <v>200</v>
      </c>
      <c r="C36" s="7"/>
      <c r="D36" s="17" t="str">
        <f aca="false">IF(OR(A36="",C36=""),"",SUM($B$25:B36)-SUM($C$25:C36))</f>
        <v/>
      </c>
    </row>
    <row r="37" customFormat="false" ht="15" hidden="false" customHeight="false" outlineLevel="0" collapsed="false">
      <c r="A37" s="16" t="n">
        <f aca="false">IF(13&gt;$B$18,"",13)</f>
        <v>13</v>
      </c>
      <c r="B37" s="17" t="n">
        <f aca="false">IF(A37="","",$B$21)</f>
        <v>200</v>
      </c>
      <c r="C37" s="7"/>
      <c r="D37" s="17" t="str">
        <f aca="false">IF(OR(A37="",C37=""),"",SUM($B$25:B37)-SUM($C$25:C37))</f>
        <v/>
      </c>
    </row>
    <row r="38" customFormat="false" ht="15" hidden="false" customHeight="false" outlineLevel="0" collapsed="false">
      <c r="A38" s="16" t="n">
        <f aca="false">IF(14&gt;$B$18,"",14)</f>
        <v>14</v>
      </c>
      <c r="B38" s="17" t="n">
        <f aca="false">IF(A38="","",$B$21)</f>
        <v>200</v>
      </c>
      <c r="C38" s="7"/>
      <c r="D38" s="17" t="str">
        <f aca="false">IF(OR(A38="",C38=""),"",SUM($B$25:B38)-SUM($C$25:C38))</f>
        <v/>
      </c>
    </row>
    <row r="39" customFormat="false" ht="15" hidden="false" customHeight="false" outlineLevel="0" collapsed="false">
      <c r="A39" s="16" t="n">
        <f aca="false">IF(15&gt;$B$18,"",15)</f>
        <v>15</v>
      </c>
      <c r="B39" s="17" t="n">
        <f aca="false">IF(A39="","",$B$21)</f>
        <v>200</v>
      </c>
      <c r="C39" s="7"/>
      <c r="D39" s="17" t="str">
        <f aca="false">IF(OR(A39="",C39=""),"",SUM($B$25:B39)-SUM($C$25:C39))</f>
        <v/>
      </c>
    </row>
    <row r="40" customFormat="false" ht="15" hidden="false" customHeight="false" outlineLevel="0" collapsed="false">
      <c r="A40" s="16" t="str">
        <f aca="false">IF(16&gt;$B$18,"",16)</f>
        <v/>
      </c>
      <c r="B40" s="17" t="str">
        <f aca="false">IF(A40="","",$B$21)</f>
        <v/>
      </c>
      <c r="C40" s="7"/>
      <c r="D40" s="17" t="str">
        <f aca="false">IF(OR(A40="",C40=""),"",SUM($B$25:B40)-SUM($C$25:C40))</f>
        <v/>
      </c>
    </row>
    <row r="41" customFormat="false" ht="15" hidden="false" customHeight="false" outlineLevel="0" collapsed="false">
      <c r="A41" s="16" t="str">
        <f aca="false">IF(17&gt;$B$18,"",17)</f>
        <v/>
      </c>
      <c r="B41" s="17" t="str">
        <f aca="false">IF(A41="","",$B$21)</f>
        <v/>
      </c>
      <c r="C41" s="7"/>
      <c r="D41" s="17" t="str">
        <f aca="false">IF(OR(A41="",C41=""),"",SUM($B$25:B41)-SUM($C$25:C41))</f>
        <v/>
      </c>
    </row>
    <row r="42" customFormat="false" ht="15" hidden="false" customHeight="false" outlineLevel="0" collapsed="false">
      <c r="A42" s="16" t="str">
        <f aca="false">IF(18&gt;$B$18,"",18)</f>
        <v/>
      </c>
      <c r="B42" s="17" t="str">
        <f aca="false">IF(A42="","",$B$21)</f>
        <v/>
      </c>
      <c r="C42" s="7"/>
      <c r="D42" s="17" t="str">
        <f aca="false">IF(OR(A42="",C42=""),"",SUM($B$25:B42)-SUM($C$25:C42))</f>
        <v/>
      </c>
    </row>
    <row r="43" customFormat="false" ht="15" hidden="false" customHeight="false" outlineLevel="0" collapsed="false">
      <c r="A43" s="16" t="str">
        <f aca="false">IF(19&gt;$B$18,"",19)</f>
        <v/>
      </c>
      <c r="B43" s="17" t="str">
        <f aca="false">IF(A43="","",$B$21)</f>
        <v/>
      </c>
      <c r="C43" s="7"/>
      <c r="D43" s="17" t="str">
        <f aca="false">IF(OR(A43="",C43=""),"",SUM($B$25:B43)-SUM($C$25:C43))</f>
        <v/>
      </c>
    </row>
    <row r="44" customFormat="false" ht="15" hidden="false" customHeight="false" outlineLevel="0" collapsed="false">
      <c r="A44" s="16" t="str">
        <f aca="false">IF(20&gt;$B$18,"",20)</f>
        <v/>
      </c>
      <c r="B44" s="17" t="str">
        <f aca="false">IF(A44="","",$B$21)</f>
        <v/>
      </c>
      <c r="C44" s="7"/>
      <c r="D44" s="17" t="str">
        <f aca="false">IF(OR(A44="",C44=""),"",SUM($B$25:B44)-SUM($C$25:C44))</f>
        <v/>
      </c>
    </row>
  </sheetData>
  <conditionalFormatting sqref="D25:D44">
    <cfRule type="expression" priority="2" aboveAverage="0" equalAverage="0" bottom="0" percent="0" rank="0" text="" dxfId="0">
      <formula>AND(ISNUMBER(D25),D25&lt;0)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</cols>
  <sheetData>
    <row r="1" customFormat="false" ht="19.7" hidden="false" customHeight="false" outlineLevel="0" collapsed="false">
      <c r="A1" s="1" t="s">
        <v>31</v>
      </c>
    </row>
    <row r="2" customFormat="false" ht="15" hidden="false" customHeight="false" outlineLevel="0" collapsed="false">
      <c r="A2" s="14" t="s">
        <v>32</v>
      </c>
    </row>
    <row r="3" customFormat="false" ht="15" hidden="false" customHeight="false" outlineLevel="0" collapsed="false">
      <c r="A3" s="4" t="s">
        <v>33</v>
      </c>
      <c r="B3" s="5" t="s">
        <v>12</v>
      </c>
    </row>
    <row r="4" customFormat="false" ht="15" hidden="false" customHeight="false" outlineLevel="0" collapsed="false">
      <c r="A4" s="6" t="s">
        <v>34</v>
      </c>
      <c r="B4" s="7" t="n">
        <v>70</v>
      </c>
    </row>
    <row r="5" customFormat="false" ht="15" hidden="false" customHeight="false" outlineLevel="0" collapsed="false">
      <c r="A5" s="6" t="s">
        <v>35</v>
      </c>
      <c r="B5" s="7" t="n">
        <v>25</v>
      </c>
    </row>
    <row r="6" customFormat="false" ht="15" hidden="false" customHeight="false" outlineLevel="0" collapsed="false">
      <c r="A6" s="6" t="s">
        <v>36</v>
      </c>
      <c r="B6" s="7" t="n">
        <v>60</v>
      </c>
    </row>
    <row r="7" customFormat="false" ht="15" hidden="false" customHeight="false" outlineLevel="0" collapsed="false">
      <c r="A7" s="6" t="s">
        <v>37</v>
      </c>
      <c r="B7" s="7" t="n">
        <v>25</v>
      </c>
    </row>
    <row r="8" customFormat="false" ht="15" hidden="false" customHeight="false" outlineLevel="0" collapsed="false">
      <c r="A8" s="6" t="s">
        <v>38</v>
      </c>
      <c r="B8" s="7" t="n">
        <v>20</v>
      </c>
    </row>
    <row r="9" customFormat="false" ht="15" hidden="false" customHeight="false" outlineLevel="0" collapsed="false">
      <c r="A9" s="6"/>
      <c r="B9" s="7"/>
    </row>
    <row r="10" customFormat="false" ht="15" hidden="false" customHeight="false" outlineLevel="0" collapsed="false">
      <c r="A10" s="6"/>
      <c r="B10" s="7"/>
    </row>
    <row r="11" customFormat="false" ht="15" hidden="false" customHeight="false" outlineLevel="0" collapsed="false">
      <c r="A11" s="6"/>
      <c r="B11" s="7"/>
    </row>
    <row r="12" customFormat="false" ht="15" hidden="false" customHeight="false" outlineLevel="0" collapsed="false">
      <c r="A12" s="8" t="s">
        <v>39</v>
      </c>
      <c r="B12" s="9" t="n">
        <f aca="false">SUM(B4:B11)</f>
        <v>200</v>
      </c>
    </row>
    <row r="13" customFormat="false" ht="15" hidden="false" customHeight="false" outlineLevel="0" collapsed="false">
      <c r="A13" s="10" t="s">
        <v>40</v>
      </c>
      <c r="B13" s="15" t="n">
        <f aca="false">Term!B21-B12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2026-10-20T13:00:31Z</dcterms:created>
  <dc:creator>openpyxl</dc:creator>
  <dc:description/>
  <dc:language>en-US</dc:language>
  <cp:lastModifiedBy/>
  <dcterms:modified xsi:type="dcterms:W3CDTF">2026-10-20T13:00:31Z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