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Debts" sheetId="2" state="visible" r:id="rId4"/>
    <sheet name="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<sst xmlns="http://schemas.openxmlformats.org/spreadsheetml/2006/main" count="71" uniqueCount="71">
  <si>
    <t xml:space="preserve">Debt snowball and avalanche planner</t>
  </si>
  <si>
    <t xml:space="preserve">How to use it</t>
  </si>
  <si>
    <t xml:space="preserve">1. On the Debts tab, choose Snowball (smallest balance first) or Avalanche (highest rate first).</t>
  </si>
  <si>
    <t xml:space="preserve">2. Type how much extra you can pay each month on top of your minimums.</t>
  </si>
  <si>
    <t xml:space="preserve">3. List up to six debts: name, balance, yearly interest rate and minimum payment.</t>
  </si>
  <si>
    <t xml:space="preserve">4. Read the results: payoff order, the month each debt is cleared, total months and total interest.</t>
  </si>
  <si>
    <t xml:space="preserve">5. Switch the method to compare. The Schedule tab shows every month in detail.</t>
  </si>
  <si>
    <t xml:space="preserve">This is an estimate using simple monthly interest. Your lender's numbers will differ slightly.</t>
  </si>
  <si>
    <t xml:space="preserve">Needs Google Sheets, or Excel 2019 / Microsoft 365 (it uses the MINIFS function).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</si>
  <si>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</si>
  <si>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</si>
  <si>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https://guidelark.com/blog/debt-snowball-spreadsheet/</t>
  </si>
  <si>
    <t xml:space="preserve">Free to use and share. General information, not financial advice.</t>
  </si>
  <si>
    <t xml:space="preserve">Debt payoff planner</t>
  </si>
  <si>
    <t xml:space="preserve">Method</t>
  </si>
  <si>
    <t xml:space="preserve">Snowball</t>
  </si>
  <si>
    <t xml:space="preserve">Snowball = smallest balance first. Avalanche = highest interest rate first.</t>
  </si>
  <si>
    <t xml:space="preserve">Extra payment each month</t>
  </si>
  <si>
    <t xml:space="preserve">On top of all your minimum payments.</t>
  </si>
  <si>
    <t xml:space="preserve">Debt</t>
  </si>
  <si>
    <t xml:space="preserve">Balance</t>
  </si>
  <si>
    <t xml:space="preserve">Interest rate (APR)</t>
  </si>
  <si>
    <t xml:space="preserve">Minimum payment</t>
  </si>
  <si>
    <t xml:space="preserve">Payoff order</t>
  </si>
  <si>
    <t xml:space="preserve">Paid off in month</t>
  </si>
  <si>
    <t xml:space="preserve">Store card</t>
  </si>
  <si>
    <t xml:space="preserve">Car loan</t>
  </si>
  <si>
    <t xml:space="preserve">Credit card</t>
  </si>
  <si>
    <t xml:space="preserve">Total monthly payment</t>
  </si>
  <si>
    <t xml:space="preserve">Stays the same every month: cleared minimums roll into the next debt.</t>
  </si>
  <si>
    <t xml:space="preserve">Months until debt-free</t>
  </si>
  <si>
    <t xml:space="preserve">Total interest paid</t>
  </si>
  <si>
    <t xml:space="preserve">Total paid</t>
  </si>
  <si>
    <t xml:space="preserve">Month-by-month schedule (calculated, no need to edit)</t>
  </si>
  <si>
    <t xml:space="preserve">Rows 1-3 hold each debt's minimum, rate and payoff order.</t>
  </si>
  <si>
    <t xml:space="preserve">Month</t>
  </si>
  <si>
    <t xml:space="preserve">Start 1</t>
  </si>
  <si>
    <t xml:space="preserve">Start 2</t>
  </si>
  <si>
    <t xml:space="preserve">Start 3</t>
  </si>
  <si>
    <t xml:space="preserve">Start 4</t>
  </si>
  <si>
    <t xml:space="preserve">Start 5</t>
  </si>
  <si>
    <t xml:space="preserve">Start 6</t>
  </si>
  <si>
    <t xml:space="preserve">Interest 1</t>
  </si>
  <si>
    <t xml:space="preserve">Interest 2</t>
  </si>
  <si>
    <t xml:space="preserve">Interest 3</t>
  </si>
  <si>
    <t xml:space="preserve">Interest 4</t>
  </si>
  <si>
    <t xml:space="preserve">Interest 5</t>
  </si>
  <si>
    <t xml:space="preserve">Interest 6</t>
  </si>
  <si>
    <t xml:space="preserve">Minimum 1</t>
  </si>
  <si>
    <t xml:space="preserve">Minimum 2</t>
  </si>
  <si>
    <t xml:space="preserve">Minimum 3</t>
  </si>
  <si>
    <t xml:space="preserve">Minimum 4</t>
  </si>
  <si>
    <t xml:space="preserve">Minimum 5</t>
  </si>
  <si>
    <t xml:space="preserve">Minimum 6</t>
  </si>
  <si>
    <t xml:space="preserve">Total payment</t>
  </si>
  <si>
    <t xml:space="preserve">Extra pool</t>
  </si>
  <si>
    <t xml:space="preserve">Target</t>
  </si>
  <si>
    <t xml:space="preserve">Payment 1</t>
  </si>
  <si>
    <t xml:space="preserve">Payment 2</t>
  </si>
  <si>
    <t xml:space="preserve">Payment 3</t>
  </si>
  <si>
    <t xml:space="preserve">Payment 4</t>
  </si>
  <si>
    <t xml:space="preserve">Payment 5</t>
  </si>
  <si>
    <t xml:space="preserve">Payment 6</t>
  </si>
  <si>
    <t xml:space="preserve">End 1</t>
  </si>
  <si>
    <t xml:space="preserve">End 2</t>
  </si>
  <si>
    <t xml:space="preserve">End 3</t>
  </si>
  <si>
    <t xml:space="preserve">End 4</t>
  </si>
  <si>
    <t xml:space="preserve">End 5</t>
  </si>
  <si>
    <t xml:space="preserve">End 6</t>
  </si>
  <si>
    <t xml:space="preserve">Interest total</t>
  </si>
  <si>
    <t xml:space="preserve">Balance left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</si>
</sst>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[RED]&quot;-$&quot;#,##0.00;\-"/>
    <numFmt numFmtId="166" formatCode="0.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13</v>
      </c>
    </row>
    <row r="3" customFormat="false" ht="15" hidden="false" customHeight="false" outlineLevel="0" collapsed="false">
      <c r="A3" s="4" t="s">
        <v>14</v>
      </c>
      <c r="B3" s="5" t="s">
        <v>15</v>
      </c>
      <c r="C3" s="6" t="s">
        <v>16</v>
      </c>
    </row>
    <row r="4" customFormat="false" ht="15" hidden="false" customHeight="false" outlineLevel="0" collapsed="false">
      <c r="A4" s="4" t="s">
        <v>17</v>
      </c>
      <c r="B4" s="7" t="n">
        <v>100</v>
      </c>
      <c r="C4" s="6" t="s">
        <v>18</v>
      </c>
    </row>
    <row r="6" customFormat="false" ht="30" hidden="false" customHeight="true" outlineLevel="0" collapsed="false">
      <c r="A6" s="8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9" t="s">
        <v>24</v>
      </c>
    </row>
    <row r="7" customFormat="false" ht="15" hidden="false" customHeight="false" outlineLevel="0" collapsed="false">
      <c r="A7" s="10" t="s">
        <v>25</v>
      </c>
      <c r="B7" s="11" t="n">
        <v>900</v>
      </c>
      <c r="C7" s="12" t="n">
        <v>0.15</v>
      </c>
      <c r="D7" s="11" t="n">
        <v>30</v>
      </c>
      <c r="E7" s="13" t="n">
        <f aca="false">IF(N(B7)&gt;0,IF($B$3="Avalanche",COUNTIFS($B$7:$B$12,"&gt;0",$C$7:$C$12,"&gt;"&amp;N(C7))+COUNTIFS($C$7:C7,N(C7),$B$7:B7,"&gt;0"),COUNTIFS($B$7:$B$12,"&gt;0",$B$7:$B$12,"&lt;"&amp;B7)+COUNTIFS($B$7:B7,B7)),"")</f>
        <v>1</v>
      </c>
      <c r="F7" s="13" t="n">
        <f aca="false">IF(N(B7)&gt;0,IF(COUNTIF(Schedule!AC$5:AC$124,"&gt;0.005")&gt;=120,"Over 10 years",COUNTIF(Schedule!AC$5:AC$124,"&gt;0.005")+1),"")</f>
        <v>8</v>
      </c>
    </row>
    <row r="8" customFormat="false" ht="15" hidden="false" customHeight="false" outlineLevel="0" collapsed="false">
      <c r="A8" s="10" t="s">
        <v>26</v>
      </c>
      <c r="B8" s="11" t="n">
        <v>2000</v>
      </c>
      <c r="C8" s="12" t="n">
        <v>0.08</v>
      </c>
      <c r="D8" s="11" t="n">
        <v>60</v>
      </c>
      <c r="E8" s="13" t="n">
        <f aca="false">IF(N(B8)&gt;0,IF($B$3="Avalanche",COUNTIFS($B$7:$B$12,"&gt;0",$C$7:$C$12,"&gt;"&amp;N(C8))+COUNTIFS($C$7:C8,N(C8),$B$7:B8,"&gt;0"),COUNTIFS($B$7:$B$12,"&gt;0",$B$7:$B$12,"&lt;"&amp;B8)+COUNTIFS($B$7:B8,B8)),"")</f>
        <v>2</v>
      </c>
      <c r="F8" s="13" t="n">
        <f aca="false">IF(N(B8)&gt;0,IF(COUNTIF(Schedule!AD$5:AD$124,"&gt;0.005")&gt;=120,"Over 10 years",COUNTIF(Schedule!AD$5:AD$124,"&gt;0.005")+1),"")</f>
        <v>17</v>
      </c>
    </row>
    <row r="9" customFormat="false" ht="15" hidden="false" customHeight="false" outlineLevel="0" collapsed="false">
      <c r="A9" s="10" t="s">
        <v>27</v>
      </c>
      <c r="B9" s="11" t="n">
        <v>3200</v>
      </c>
      <c r="C9" s="12" t="n">
        <v>0.26</v>
      </c>
      <c r="D9" s="11" t="n">
        <v>96</v>
      </c>
      <c r="E9" s="13" t="n">
        <f aca="false">IF(N(B9)&gt;0,IF($B$3="Avalanche",COUNTIFS($B$7:$B$12,"&gt;0",$C$7:$C$12,"&gt;"&amp;N(C9))+COUNTIFS($C$7:C9,N(C9),$B$7:B9,"&gt;0"),COUNTIFS($B$7:$B$12,"&gt;0",$B$7:$B$12,"&lt;"&amp;B9)+COUNTIFS($B$7:B9,B9)),"")</f>
        <v>3</v>
      </c>
      <c r="F9" s="13" t="n">
        <f aca="false">IF(N(B9)&gt;0,IF(COUNTIF(Schedule!AE$5:AE$124,"&gt;0.005")&gt;=120,"Over 10 years",COUNTIF(Schedule!AE$5:AE$124,"&gt;0.005")+1),"")</f>
        <v>28</v>
      </c>
    </row>
    <row r="10" customFormat="false" ht="15" hidden="false" customHeight="false" outlineLevel="0" collapsed="false">
      <c r="A10" s="10"/>
      <c r="B10" s="11"/>
      <c r="C10" s="12"/>
      <c r="D10" s="11"/>
      <c r="E10" s="13" t="str">
        <f aca="false">IF(N(B10)&gt;0,IF($B$3="Avalanche",COUNTIFS($B$7:$B$12,"&gt;0",$C$7:$C$12,"&gt;"&amp;N(C10))+COUNTIFS($C$7:C10,N(C10),$B$7:B10,"&gt;0"),COUNTIFS($B$7:$B$12,"&gt;0",$B$7:$B$12,"&lt;"&amp;B10)+COUNTIFS($B$7:B10,B10)),"")</f>
        <v/>
      </c>
      <c r="F10" s="13" t="str">
        <f aca="false">IF(N(B10)&gt;0,IF(COUNTIF(Schedule!AF$5:AF$124,"&gt;0.005")&gt;=120,"Over 10 years",COUNTIF(Schedule!AF$5:AF$124,"&gt;0.005")+1),"")</f>
        <v/>
      </c>
    </row>
    <row r="11" customFormat="false" ht="15" hidden="false" customHeight="false" outlineLevel="0" collapsed="false">
      <c r="A11" s="10"/>
      <c r="B11" s="11"/>
      <c r="C11" s="12"/>
      <c r="D11" s="11"/>
      <c r="E11" s="13" t="str">
        <f aca="false">IF(N(B11)&gt;0,IF($B$3="Avalanche",COUNTIFS($B$7:$B$12,"&gt;0",$C$7:$C$12,"&gt;"&amp;N(C11))+COUNTIFS($C$7:C11,N(C11),$B$7:B11,"&gt;0"),COUNTIFS($B$7:$B$12,"&gt;0",$B$7:$B$12,"&lt;"&amp;B11)+COUNTIFS($B$7:B11,B11)),"")</f>
        <v/>
      </c>
      <c r="F11" s="13" t="str">
        <f aca="false">IF(N(B11)&gt;0,IF(COUNTIF(Schedule!AG$5:AG$124,"&gt;0.005")&gt;=120,"Over 10 years",COUNTIF(Schedule!AG$5:AG$124,"&gt;0.005")+1),"")</f>
        <v/>
      </c>
    </row>
    <row r="12" customFormat="false" ht="15" hidden="false" customHeight="false" outlineLevel="0" collapsed="false">
      <c r="A12" s="10"/>
      <c r="B12" s="11"/>
      <c r="C12" s="12"/>
      <c r="D12" s="11"/>
      <c r="E12" s="13" t="str">
        <f aca="false">IF(N(B12)&gt;0,IF($B$3="Avalanche",COUNTIFS($B$7:$B$12,"&gt;0",$C$7:$C$12,"&gt;"&amp;N(C12))+COUNTIFS($C$7:C12,N(C12),$B$7:B12,"&gt;0"),COUNTIFS($B$7:$B$12,"&gt;0",$B$7:$B$12,"&lt;"&amp;B12)+COUNTIFS($B$7:B12,B12)),"")</f>
        <v/>
      </c>
      <c r="F12" s="13" t="str">
        <f aca="false">IF(N(B12)&gt;0,IF(COUNTIF(Schedule!AH$5:AH$124,"&gt;0.005")&gt;=120,"Over 10 years",COUNTIF(Schedule!AH$5:AH$124,"&gt;0.005")+1),"")</f>
        <v/>
      </c>
    </row>
    <row r="14" customFormat="false" ht="15" hidden="false" customHeight="false" outlineLevel="0" collapsed="false">
      <c r="A14" s="4" t="s">
        <v>28</v>
      </c>
      <c r="B14" s="14" t="n">
        <f aca="false">SUM(D7:D12)+B4</f>
        <v>286</v>
      </c>
      <c r="C14" s="6" t="s">
        <v>29</v>
      </c>
    </row>
    <row r="15" customFormat="false" ht="15" hidden="false" customHeight="false" outlineLevel="0" collapsed="false">
      <c r="A15" s="4" t="s">
        <v>30</v>
      </c>
      <c r="B15" s="4" t="n">
        <f aca="false">IF(SUM(B7:B12)=0,"-",IF(COUNTIF(Schedule!AJ5:AJ124,"&gt;0.005")&gt;=120,"Over 10 years",COUNTIF(Schedule!AJ5:AJ124,"&gt;0.005")+1))</f>
        <v>28</v>
      </c>
    </row>
    <row r="16" customFormat="false" ht="15" hidden="false" customHeight="false" outlineLevel="0" collapsed="false">
      <c r="A16" s="4" t="s">
        <v>31</v>
      </c>
      <c r="B16" s="14" t="n">
        <f aca="false">SUM(Schedule!AI5:AI124)</f>
        <v>1632.5523975022</v>
      </c>
    </row>
    <row r="17" customFormat="false" ht="15" hidden="false" customHeight="false" outlineLevel="0" collapsed="false">
      <c r="A17" s="4" t="s">
        <v>32</v>
      </c>
      <c r="B17" s="14" t="n">
        <f aca="false">SUM(B7:B12)+B16</f>
        <v>7732.5523975022</v>
      </c>
    </row>
  </sheetData>
  <dataValidations count="1">
    <dataValidation allowBlank="false" errorStyle="stop" operator="between" showDropDown="false" showErrorMessage="false" showInputMessage="false" sqref="B3" type="list">
      <formula1>"Snowball,Avalanche"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6" min="1" style="0" width="12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A2" s="6" t="s">
        <v>34</v>
      </c>
    </row>
    <row r="3" customFormat="false" ht="15" hidden="false" customHeight="false" outlineLevel="0" collapsed="false">
      <c r="B3" s="0" t="n">
        <f aca="false">Debts!E7</f>
        <v>1</v>
      </c>
      <c r="C3" s="0" t="n">
        <f aca="false">Debts!E8</f>
        <v>2</v>
      </c>
      <c r="D3" s="0" t="n">
        <f aca="false">Debts!E9</f>
        <v>3</v>
      </c>
      <c r="E3" s="0" t="str">
        <f aca="false">Debts!E10</f>
        <v/>
      </c>
      <c r="F3" s="0" t="str">
        <f aca="false">Debts!E11</f>
        <v/>
      </c>
      <c r="G3" s="0" t="str">
        <f aca="false">Debts!E12</f>
        <v/>
      </c>
    </row>
    <row r="4" customFormat="false" ht="26.85" hidden="false" customHeight="false" outlineLevel="0" collapsed="false">
      <c r="A4" s="8" t="s">
        <v>35</v>
      </c>
      <c r="B4" s="8" t="s">
        <v>36</v>
      </c>
      <c r="C4" s="8" t="s">
        <v>37</v>
      </c>
      <c r="D4" s="8" t="s">
        <v>38</v>
      </c>
      <c r="E4" s="8" t="s">
        <v>39</v>
      </c>
      <c r="F4" s="8" t="s">
        <v>40</v>
      </c>
      <c r="G4" s="8" t="s">
        <v>41</v>
      </c>
      <c r="H4" s="8" t="s">
        <v>42</v>
      </c>
      <c r="I4" s="8" t="s">
        <v>43</v>
      </c>
      <c r="J4" s="8" t="s">
        <v>44</v>
      </c>
      <c r="K4" s="8" t="s">
        <v>45</v>
      </c>
      <c r="L4" s="8" t="s">
        <v>46</v>
      </c>
      <c r="M4" s="8" t="s">
        <v>47</v>
      </c>
      <c r="N4" s="8" t="s">
        <v>48</v>
      </c>
      <c r="O4" s="8" t="s">
        <v>49</v>
      </c>
      <c r="P4" s="8" t="s">
        <v>50</v>
      </c>
      <c r="Q4" s="8" t="s">
        <v>51</v>
      </c>
      <c r="R4" s="8" t="s">
        <v>52</v>
      </c>
      <c r="S4" s="8" t="s">
        <v>53</v>
      </c>
      <c r="T4" s="8" t="s">
        <v>54</v>
      </c>
      <c r="U4" s="8" t="s">
        <v>55</v>
      </c>
      <c r="V4" s="8" t="s">
        <v>56</v>
      </c>
      <c r="W4" s="8" t="s">
        <v>57</v>
      </c>
      <c r="X4" s="8" t="s">
        <v>58</v>
      </c>
      <c r="Y4" s="8" t="s">
        <v>59</v>
      </c>
      <c r="Z4" s="8" t="s">
        <v>60</v>
      </c>
      <c r="AA4" s="8" t="s">
        <v>61</v>
      </c>
      <c r="AB4" s="8" t="s">
        <v>62</v>
      </c>
      <c r="AC4" s="8" t="s">
        <v>63</v>
      </c>
      <c r="AD4" s="8" t="s">
        <v>64</v>
      </c>
      <c r="AE4" s="8" t="s">
        <v>65</v>
      </c>
      <c r="AF4" s="8" t="s">
        <v>66</v>
      </c>
      <c r="AG4" s="8" t="s">
        <v>67</v>
      </c>
      <c r="AH4" s="8" t="s">
        <v>68</v>
      </c>
      <c r="AI4" s="8" t="s">
        <v>69</v>
      </c>
      <c r="AJ4" s="8" t="s">
        <v>70</v>
      </c>
    </row>
    <row r="5" customFormat="false" ht="15" hidden="false" customHeight="false" outlineLevel="0" collapsed="false">
      <c r="A5" s="0" t="n">
        <v>1</v>
      </c>
      <c r="B5" s="15" t="n">
        <f aca="false">N(Debts!B7)</f>
        <v>900</v>
      </c>
      <c r="C5" s="15" t="n">
        <f aca="false">N(Debts!B8)</f>
        <v>2000</v>
      </c>
      <c r="D5" s="15" t="n">
        <f aca="false">N(Debts!B9)</f>
        <v>3200</v>
      </c>
      <c r="E5" s="15" t="n">
        <f aca="false">N(Debts!B10)</f>
        <v>0</v>
      </c>
      <c r="F5" s="15" t="n">
        <f aca="false">N(Debts!B11)</f>
        <v>0</v>
      </c>
      <c r="G5" s="15" t="n">
        <f aca="false">N(Debts!B12)</f>
        <v>0</v>
      </c>
      <c r="H5" s="15" t="n">
        <f aca="false">B5*N(Debts!C7)/12</f>
        <v>11.25</v>
      </c>
      <c r="I5" s="15" t="n">
        <f aca="false">C5*N(Debts!C8)/12</f>
        <v>13.3333333333333</v>
      </c>
      <c r="J5" s="15" t="n">
        <f aca="false">D5*N(Debts!C9)/12</f>
        <v>69.3333333333333</v>
      </c>
      <c r="K5" s="15" t="n">
        <f aca="false">E5*N(Debts!C10)/12</f>
        <v>0</v>
      </c>
      <c r="L5" s="15" t="n">
        <f aca="false">F5*N(Debts!C11)/12</f>
        <v>0</v>
      </c>
      <c r="M5" s="15" t="n">
        <f aca="false">G5*N(Debts!C12)/12</f>
        <v>0</v>
      </c>
      <c r="N5" s="15" t="n">
        <f aca="false">MIN(B5+H5,N(Debts!D7))</f>
        <v>30</v>
      </c>
      <c r="O5" s="15" t="n">
        <f aca="false">MIN(C5+I5,N(Debts!D8))</f>
        <v>60</v>
      </c>
      <c r="P5" s="15" t="n">
        <f aca="false">MIN(D5+J5,N(Debts!D9))</f>
        <v>96</v>
      </c>
      <c r="Q5" s="15" t="n">
        <f aca="false">MIN(E5+K5,N(Debts!D10))</f>
        <v>0</v>
      </c>
      <c r="R5" s="15" t="n">
        <f aca="false">MIN(F5+L5,N(Debts!D11))</f>
        <v>0</v>
      </c>
      <c r="S5" s="15" t="n">
        <f aca="false">MIN(G5+M5,N(Debts!D12))</f>
        <v>0</v>
      </c>
      <c r="T5" s="15" t="n">
        <f aca="false">Debts!$B$14</f>
        <v>286</v>
      </c>
      <c r="U5" s="15" t="n">
        <f aca="false">MAX(0,T5-SUM(N5:S5))</f>
        <v>100</v>
      </c>
      <c r="V5" s="16" t="n">
        <f aca="false">_xlfn.MINIFS($B$3:$G$3,B5:G5,"&gt;0.005")</f>
        <v>1</v>
      </c>
      <c r="W5" s="15" t="n">
        <f aca="false">IF(B5&lt;=0.005,0,MIN(B5+H5,N5+IF(B$3=$V5,$U5,0)))</f>
        <v>130</v>
      </c>
      <c r="X5" s="15" t="n">
        <f aca="false">IF(C5&lt;=0.005,0,MIN(C5+I5,O5+IF(C$3=$V5,$U5,0)))</f>
        <v>60</v>
      </c>
      <c r="Y5" s="15" t="n">
        <f aca="false">IF(D5&lt;=0.005,0,MIN(D5+J5,P5+IF(D$3=$V5,$U5,0)))</f>
        <v>96</v>
      </c>
      <c r="Z5" s="15" t="n">
        <f aca="false">IF(E5&lt;=0.005,0,MIN(E5+K5,Q5+IF(E$3=$V5,$U5,0)))</f>
        <v>0</v>
      </c>
      <c r="AA5" s="15" t="n">
        <f aca="false">IF(F5&lt;=0.005,0,MIN(F5+L5,R5+IF(F$3=$V5,$U5,0)))</f>
        <v>0</v>
      </c>
      <c r="AB5" s="15" t="n">
        <f aca="false">IF(G5&lt;=0.005,0,MIN(G5+M5,S5+IF(G$3=$V5,$U5,0)))</f>
        <v>0</v>
      </c>
      <c r="AC5" s="15" t="n">
        <f aca="false">MAX(0,B5+H5-W5)</f>
        <v>781.25</v>
      </c>
      <c r="AD5" s="15" t="n">
        <f aca="false">MAX(0,C5+I5-X5)</f>
        <v>1953.33333333333</v>
      </c>
      <c r="AE5" s="15" t="n">
        <f aca="false">MAX(0,D5+J5-Y5)</f>
        <v>3173.33333333333</v>
      </c>
      <c r="AF5" s="15" t="n">
        <f aca="false">MAX(0,E5+K5-Z5)</f>
        <v>0</v>
      </c>
      <c r="AG5" s="15" t="n">
        <f aca="false">MAX(0,F5+L5-AA5)</f>
        <v>0</v>
      </c>
      <c r="AH5" s="15" t="n">
        <f aca="false">MAX(0,G5+M5-AB5)</f>
        <v>0</v>
      </c>
      <c r="AI5" s="15" t="n">
        <f aca="false">SUM(H5:M5)</f>
        <v>93.9166666666667</v>
      </c>
      <c r="AJ5" s="15" t="n">
        <f aca="false">SUM(AC5:AH5)</f>
        <v>5907.91666666667</v>
      </c>
    </row>
    <row r="6" customFormat="false" ht="15" hidden="false" customHeight="false" outlineLevel="0" collapsed="false">
      <c r="A6" s="0" t="n">
        <v>2</v>
      </c>
      <c r="B6" s="15" t="n">
        <f aca="false">AC5</f>
        <v>781.25</v>
      </c>
      <c r="C6" s="15" t="n">
        <f aca="false">AD5</f>
        <v>1953.33333333333</v>
      </c>
      <c r="D6" s="15" t="n">
        <f aca="false">AE5</f>
        <v>3173.33333333333</v>
      </c>
      <c r="E6" s="15" t="n">
        <f aca="false">AF5</f>
        <v>0</v>
      </c>
      <c r="F6" s="15" t="n">
        <f aca="false">AG5</f>
        <v>0</v>
      </c>
      <c r="G6" s="15" t="n">
        <f aca="false">AH5</f>
        <v>0</v>
      </c>
      <c r="H6" s="15" t="n">
        <f aca="false">B6*N(Debts!C7)/12</f>
        <v>9.765625</v>
      </c>
      <c r="I6" s="15" t="n">
        <f aca="false">C6*N(Debts!C8)/12</f>
        <v>13.0222222222222</v>
      </c>
      <c r="J6" s="15" t="n">
        <f aca="false">D6*N(Debts!C9)/12</f>
        <v>68.7555555555556</v>
      </c>
      <c r="K6" s="15" t="n">
        <f aca="false">E6*N(Debts!C10)/12</f>
        <v>0</v>
      </c>
      <c r="L6" s="15" t="n">
        <f aca="false">F6*N(Debts!C11)/12</f>
        <v>0</v>
      </c>
      <c r="M6" s="15" t="n">
        <f aca="false">G6*N(Debts!C12)/12</f>
        <v>0</v>
      </c>
      <c r="N6" s="15" t="n">
        <f aca="false">MIN(B6+H6,N(Debts!D7))</f>
        <v>30</v>
      </c>
      <c r="O6" s="15" t="n">
        <f aca="false">MIN(C6+I6,N(Debts!D8))</f>
        <v>60</v>
      </c>
      <c r="P6" s="15" t="n">
        <f aca="false">MIN(D6+J6,N(Debts!D9))</f>
        <v>96</v>
      </c>
      <c r="Q6" s="15" t="n">
        <f aca="false">MIN(E6+K6,N(Debts!D10))</f>
        <v>0</v>
      </c>
      <c r="R6" s="15" t="n">
        <f aca="false">MIN(F6+L6,N(Debts!D11))</f>
        <v>0</v>
      </c>
      <c r="S6" s="15" t="n">
        <f aca="false">MIN(G6+M6,N(Debts!D12))</f>
        <v>0</v>
      </c>
      <c r="T6" s="15" t="n">
        <f aca="false">Debts!$B$14</f>
        <v>286</v>
      </c>
      <c r="U6" s="15" t="n">
        <f aca="false">MAX(0,T6-SUM(N6:S6))</f>
        <v>100</v>
      </c>
      <c r="V6" s="16" t="n">
        <f aca="false">_xlfn.MINIFS($B$3:$G$3,B6:G6,"&gt;0.005")</f>
        <v>1</v>
      </c>
      <c r="W6" s="15" t="n">
        <f aca="false">IF(B6&lt;=0.005,0,MIN(B6+H6,N6+IF(B$3=$V6,$U6,0)))</f>
        <v>130</v>
      </c>
      <c r="X6" s="15" t="n">
        <f aca="false">IF(C6&lt;=0.005,0,MIN(C6+I6,O6+IF(C$3=$V6,$U6,0)))</f>
        <v>60</v>
      </c>
      <c r="Y6" s="15" t="n">
        <f aca="false">IF(D6&lt;=0.005,0,MIN(D6+J6,P6+IF(D$3=$V6,$U6,0)))</f>
        <v>96</v>
      </c>
      <c r="Z6" s="15" t="n">
        <f aca="false">IF(E6&lt;=0.005,0,MIN(E6+K6,Q6+IF(E$3=$V6,$U6,0)))</f>
        <v>0</v>
      </c>
      <c r="AA6" s="15" t="n">
        <f aca="false">IF(F6&lt;=0.005,0,MIN(F6+L6,R6+IF(F$3=$V6,$U6,0)))</f>
        <v>0</v>
      </c>
      <c r="AB6" s="15" t="n">
        <f aca="false">IF(G6&lt;=0.005,0,MIN(G6+M6,S6+IF(G$3=$V6,$U6,0)))</f>
        <v>0</v>
      </c>
      <c r="AC6" s="15" t="n">
        <f aca="false">MAX(0,B6+H6-W6)</f>
        <v>661.015625</v>
      </c>
      <c r="AD6" s="15" t="n">
        <f aca="false">MAX(0,C6+I6-X6)</f>
        <v>1906.35555555556</v>
      </c>
      <c r="AE6" s="15" t="n">
        <f aca="false">MAX(0,D6+J6-Y6)</f>
        <v>3146.08888888889</v>
      </c>
      <c r="AF6" s="15" t="n">
        <f aca="false">MAX(0,E6+K6-Z6)</f>
        <v>0</v>
      </c>
      <c r="AG6" s="15" t="n">
        <f aca="false">MAX(0,F6+L6-AA6)</f>
        <v>0</v>
      </c>
      <c r="AH6" s="15" t="n">
        <f aca="false">MAX(0,G6+M6-AB6)</f>
        <v>0</v>
      </c>
      <c r="AI6" s="15" t="n">
        <f aca="false">SUM(H6:M6)</f>
        <v>91.5434027777778</v>
      </c>
      <c r="AJ6" s="15" t="n">
        <f aca="false">SUM(AC6:AH6)</f>
        <v>5713.46006944444</v>
      </c>
    </row>
    <row r="7" customFormat="false" ht="15" hidden="false" customHeight="false" outlineLevel="0" collapsed="false">
      <c r="A7" s="0" t="n">
        <v>3</v>
      </c>
      <c r="B7" s="15" t="n">
        <f aca="false">AC6</f>
        <v>661.015625</v>
      </c>
      <c r="C7" s="15" t="n">
        <f aca="false">AD6</f>
        <v>1906.35555555556</v>
      </c>
      <c r="D7" s="15" t="n">
        <f aca="false">AE6</f>
        <v>3146.08888888889</v>
      </c>
      <c r="E7" s="15" t="n">
        <f aca="false">AF6</f>
        <v>0</v>
      </c>
      <c r="F7" s="15" t="n">
        <f aca="false">AG6</f>
        <v>0</v>
      </c>
      <c r="G7" s="15" t="n">
        <f aca="false">AH6</f>
        <v>0</v>
      </c>
      <c r="H7" s="15" t="n">
        <f aca="false">B7*N(Debts!C7)/12</f>
        <v>8.2626953125</v>
      </c>
      <c r="I7" s="15" t="n">
        <f aca="false">C7*N(Debts!C8)/12</f>
        <v>12.709037037037</v>
      </c>
      <c r="J7" s="15" t="n">
        <f aca="false">D7*N(Debts!C9)/12</f>
        <v>68.1652592592593</v>
      </c>
      <c r="K7" s="15" t="n">
        <f aca="false">E7*N(Debts!C10)/12</f>
        <v>0</v>
      </c>
      <c r="L7" s="15" t="n">
        <f aca="false">F7*N(Debts!C11)/12</f>
        <v>0</v>
      </c>
      <c r="M7" s="15" t="n">
        <f aca="false">G7*N(Debts!C12)/12</f>
        <v>0</v>
      </c>
      <c r="N7" s="15" t="n">
        <f aca="false">MIN(B7+H7,N(Debts!D7))</f>
        <v>30</v>
      </c>
      <c r="O7" s="15" t="n">
        <f aca="false">MIN(C7+I7,N(Debts!D8))</f>
        <v>60</v>
      </c>
      <c r="P7" s="15" t="n">
        <f aca="false">MIN(D7+J7,N(Debts!D9))</f>
        <v>96</v>
      </c>
      <c r="Q7" s="15" t="n">
        <f aca="false">MIN(E7+K7,N(Debts!D10))</f>
        <v>0</v>
      </c>
      <c r="R7" s="15" t="n">
        <f aca="false">MIN(F7+L7,N(Debts!D11))</f>
        <v>0</v>
      </c>
      <c r="S7" s="15" t="n">
        <f aca="false">MIN(G7+M7,N(Debts!D12))</f>
        <v>0</v>
      </c>
      <c r="T7" s="15" t="n">
        <f aca="false">Debts!$B$14</f>
        <v>286</v>
      </c>
      <c r="U7" s="15" t="n">
        <f aca="false">MAX(0,T7-SUM(N7:S7))</f>
        <v>100</v>
      </c>
      <c r="V7" s="16" t="n">
        <f aca="false">_xlfn.MINIFS($B$3:$G$3,B7:G7,"&gt;0.005")</f>
        <v>1</v>
      </c>
      <c r="W7" s="15" t="n">
        <f aca="false">IF(B7&lt;=0.005,0,MIN(B7+H7,N7+IF(B$3=$V7,$U7,0)))</f>
        <v>130</v>
      </c>
      <c r="X7" s="15" t="n">
        <f aca="false">IF(C7&lt;=0.005,0,MIN(C7+I7,O7+IF(C$3=$V7,$U7,0)))</f>
        <v>60</v>
      </c>
      <c r="Y7" s="15" t="n">
        <f aca="false">IF(D7&lt;=0.005,0,MIN(D7+J7,P7+IF(D$3=$V7,$U7,0)))</f>
        <v>96</v>
      </c>
      <c r="Z7" s="15" t="n">
        <f aca="false">IF(E7&lt;=0.005,0,MIN(E7+K7,Q7+IF(E$3=$V7,$U7,0)))</f>
        <v>0</v>
      </c>
      <c r="AA7" s="15" t="n">
        <f aca="false">IF(F7&lt;=0.005,0,MIN(F7+L7,R7+IF(F$3=$V7,$U7,0)))</f>
        <v>0</v>
      </c>
      <c r="AB7" s="15" t="n">
        <f aca="false">IF(G7&lt;=0.005,0,MIN(G7+M7,S7+IF(G$3=$V7,$U7,0)))</f>
        <v>0</v>
      </c>
      <c r="AC7" s="15" t="n">
        <f aca="false">MAX(0,B7+H7-W7)</f>
        <v>539.2783203125</v>
      </c>
      <c r="AD7" s="15" t="n">
        <f aca="false">MAX(0,C7+I7-X7)</f>
        <v>1859.06459259259</v>
      </c>
      <c r="AE7" s="15" t="n">
        <f aca="false">MAX(0,D7+J7-Y7)</f>
        <v>3118.25414814815</v>
      </c>
      <c r="AF7" s="15" t="n">
        <f aca="false">MAX(0,E7+K7-Z7)</f>
        <v>0</v>
      </c>
      <c r="AG7" s="15" t="n">
        <f aca="false">MAX(0,F7+L7-AA7)</f>
        <v>0</v>
      </c>
      <c r="AH7" s="15" t="n">
        <f aca="false">MAX(0,G7+M7-AB7)</f>
        <v>0</v>
      </c>
      <c r="AI7" s="15" t="n">
        <f aca="false">SUM(H7:M7)</f>
        <v>89.1369916087963</v>
      </c>
      <c r="AJ7" s="15" t="n">
        <f aca="false">SUM(AC7:AH7)</f>
        <v>5516.59706105324</v>
      </c>
    </row>
    <row r="8" customFormat="false" ht="15" hidden="false" customHeight="false" outlineLevel="0" collapsed="false">
      <c r="A8" s="0" t="n">
        <v>4</v>
      </c>
      <c r="B8" s="15" t="n">
        <f aca="false">AC7</f>
        <v>539.2783203125</v>
      </c>
      <c r="C8" s="15" t="n">
        <f aca="false">AD7</f>
        <v>1859.06459259259</v>
      </c>
      <c r="D8" s="15" t="n">
        <f aca="false">AE7</f>
        <v>3118.25414814815</v>
      </c>
      <c r="E8" s="15" t="n">
        <f aca="false">AF7</f>
        <v>0</v>
      </c>
      <c r="F8" s="15" t="n">
        <f aca="false">AG7</f>
        <v>0</v>
      </c>
      <c r="G8" s="15" t="n">
        <f aca="false">AH7</f>
        <v>0</v>
      </c>
      <c r="H8" s="15" t="n">
        <f aca="false">B8*N(Debts!C7)/12</f>
        <v>6.74097900390625</v>
      </c>
      <c r="I8" s="15" t="n">
        <f aca="false">C8*N(Debts!C8)/12</f>
        <v>12.3937639506173</v>
      </c>
      <c r="J8" s="15" t="n">
        <f aca="false">D8*N(Debts!C9)/12</f>
        <v>67.5621732098766</v>
      </c>
      <c r="K8" s="15" t="n">
        <f aca="false">E8*N(Debts!C10)/12</f>
        <v>0</v>
      </c>
      <c r="L8" s="15" t="n">
        <f aca="false">F8*N(Debts!C11)/12</f>
        <v>0</v>
      </c>
      <c r="M8" s="15" t="n">
        <f aca="false">G8*N(Debts!C12)/12</f>
        <v>0</v>
      </c>
      <c r="N8" s="15" t="n">
        <f aca="false">MIN(B8+H8,N(Debts!D7))</f>
        <v>30</v>
      </c>
      <c r="O8" s="15" t="n">
        <f aca="false">MIN(C8+I8,N(Debts!D8))</f>
        <v>60</v>
      </c>
      <c r="P8" s="15" t="n">
        <f aca="false">MIN(D8+J8,N(Debts!D9))</f>
        <v>96</v>
      </c>
      <c r="Q8" s="15" t="n">
        <f aca="false">MIN(E8+K8,N(Debts!D10))</f>
        <v>0</v>
      </c>
      <c r="R8" s="15" t="n">
        <f aca="false">MIN(F8+L8,N(Debts!D11))</f>
        <v>0</v>
      </c>
      <c r="S8" s="15" t="n">
        <f aca="false">MIN(G8+M8,N(Debts!D12))</f>
        <v>0</v>
      </c>
      <c r="T8" s="15" t="n">
        <f aca="false">Debts!$B$14</f>
        <v>286</v>
      </c>
      <c r="U8" s="15" t="n">
        <f aca="false">MAX(0,T8-SUM(N8:S8))</f>
        <v>100</v>
      </c>
      <c r="V8" s="16" t="n">
        <f aca="false">_xlfn.MINIFS($B$3:$G$3,B8:G8,"&gt;0.005")</f>
        <v>1</v>
      </c>
      <c r="W8" s="15" t="n">
        <f aca="false">IF(B8&lt;=0.005,0,MIN(B8+H8,N8+IF(B$3=$V8,$U8,0)))</f>
        <v>130</v>
      </c>
      <c r="X8" s="15" t="n">
        <f aca="false">IF(C8&lt;=0.005,0,MIN(C8+I8,O8+IF(C$3=$V8,$U8,0)))</f>
        <v>60</v>
      </c>
      <c r="Y8" s="15" t="n">
        <f aca="false">IF(D8&lt;=0.005,0,MIN(D8+J8,P8+IF(D$3=$V8,$U8,0)))</f>
        <v>96</v>
      </c>
      <c r="Z8" s="15" t="n">
        <f aca="false">IF(E8&lt;=0.005,0,MIN(E8+K8,Q8+IF(E$3=$V8,$U8,0)))</f>
        <v>0</v>
      </c>
      <c r="AA8" s="15" t="n">
        <f aca="false">IF(F8&lt;=0.005,0,MIN(F8+L8,R8+IF(F$3=$V8,$U8,0)))</f>
        <v>0</v>
      </c>
      <c r="AB8" s="15" t="n">
        <f aca="false">IF(G8&lt;=0.005,0,MIN(G8+M8,S8+IF(G$3=$V8,$U8,0)))</f>
        <v>0</v>
      </c>
      <c r="AC8" s="15" t="n">
        <f aca="false">MAX(0,B8+H8-W8)</f>
        <v>416.019299316406</v>
      </c>
      <c r="AD8" s="15" t="n">
        <f aca="false">MAX(0,C8+I8-X8)</f>
        <v>1811.45835654321</v>
      </c>
      <c r="AE8" s="15" t="n">
        <f aca="false">MAX(0,D8+J8-Y8)</f>
        <v>3089.81632135802</v>
      </c>
      <c r="AF8" s="15" t="n">
        <f aca="false">MAX(0,E8+K8-Z8)</f>
        <v>0</v>
      </c>
      <c r="AG8" s="15" t="n">
        <f aca="false">MAX(0,F8+L8-AA8)</f>
        <v>0</v>
      </c>
      <c r="AH8" s="15" t="n">
        <f aca="false">MAX(0,G8+M8-AB8)</f>
        <v>0</v>
      </c>
      <c r="AI8" s="15" t="n">
        <f aca="false">SUM(H8:M8)</f>
        <v>86.6969161644001</v>
      </c>
      <c r="AJ8" s="15" t="n">
        <f aca="false">SUM(AC8:AH8)</f>
        <v>5317.29397721764</v>
      </c>
    </row>
    <row r="9" customFormat="false" ht="15" hidden="false" customHeight="false" outlineLevel="0" collapsed="false">
      <c r="A9" s="0" t="n">
        <v>5</v>
      </c>
      <c r="B9" s="15" t="n">
        <f aca="false">AC8</f>
        <v>416.019299316406</v>
      </c>
      <c r="C9" s="15" t="n">
        <f aca="false">AD8</f>
        <v>1811.45835654321</v>
      </c>
      <c r="D9" s="15" t="n">
        <f aca="false">AE8</f>
        <v>3089.81632135802</v>
      </c>
      <c r="E9" s="15" t="n">
        <f aca="false">AF8</f>
        <v>0</v>
      </c>
      <c r="F9" s="15" t="n">
        <f aca="false">AG8</f>
        <v>0</v>
      </c>
      <c r="G9" s="15" t="n">
        <f aca="false">AH8</f>
        <v>0</v>
      </c>
      <c r="H9" s="15" t="n">
        <f aca="false">B9*N(Debts!C7)/12</f>
        <v>5.20024124145508</v>
      </c>
      <c r="I9" s="15" t="n">
        <f aca="false">C9*N(Debts!C8)/12</f>
        <v>12.0763890436214</v>
      </c>
      <c r="J9" s="15" t="n">
        <f aca="false">D9*N(Debts!C9)/12</f>
        <v>66.9460202960905</v>
      </c>
      <c r="K9" s="15" t="n">
        <f aca="false">E9*N(Debts!C10)/12</f>
        <v>0</v>
      </c>
      <c r="L9" s="15" t="n">
        <f aca="false">F9*N(Debts!C11)/12</f>
        <v>0</v>
      </c>
      <c r="M9" s="15" t="n">
        <f aca="false">G9*N(Debts!C12)/12</f>
        <v>0</v>
      </c>
      <c r="N9" s="15" t="n">
        <f aca="false">MIN(B9+H9,N(Debts!D7))</f>
        <v>30</v>
      </c>
      <c r="O9" s="15" t="n">
        <f aca="false">MIN(C9+I9,N(Debts!D8))</f>
        <v>60</v>
      </c>
      <c r="P9" s="15" t="n">
        <f aca="false">MIN(D9+J9,N(Debts!D9))</f>
        <v>96</v>
      </c>
      <c r="Q9" s="15" t="n">
        <f aca="false">MIN(E9+K9,N(Debts!D10))</f>
        <v>0</v>
      </c>
      <c r="R9" s="15" t="n">
        <f aca="false">MIN(F9+L9,N(Debts!D11))</f>
        <v>0</v>
      </c>
      <c r="S9" s="15" t="n">
        <f aca="false">MIN(G9+M9,N(Debts!D12))</f>
        <v>0</v>
      </c>
      <c r="T9" s="15" t="n">
        <f aca="false">Debts!$B$14</f>
        <v>286</v>
      </c>
      <c r="U9" s="15" t="n">
        <f aca="false">MAX(0,T9-SUM(N9:S9))</f>
        <v>100</v>
      </c>
      <c r="V9" s="16" t="n">
        <f aca="false">_xlfn.MINIFS($B$3:$G$3,B9:G9,"&gt;0.005")</f>
        <v>1</v>
      </c>
      <c r="W9" s="15" t="n">
        <f aca="false">IF(B9&lt;=0.005,0,MIN(B9+H9,N9+IF(B$3=$V9,$U9,0)))</f>
        <v>130</v>
      </c>
      <c r="X9" s="15" t="n">
        <f aca="false">IF(C9&lt;=0.005,0,MIN(C9+I9,O9+IF(C$3=$V9,$U9,0)))</f>
        <v>60</v>
      </c>
      <c r="Y9" s="15" t="n">
        <f aca="false">IF(D9&lt;=0.005,0,MIN(D9+J9,P9+IF(D$3=$V9,$U9,0)))</f>
        <v>96</v>
      </c>
      <c r="Z9" s="15" t="n">
        <f aca="false">IF(E9&lt;=0.005,0,MIN(E9+K9,Q9+IF(E$3=$V9,$U9,0)))</f>
        <v>0</v>
      </c>
      <c r="AA9" s="15" t="n">
        <f aca="false">IF(F9&lt;=0.005,0,MIN(F9+L9,R9+IF(F$3=$V9,$U9,0)))</f>
        <v>0</v>
      </c>
      <c r="AB9" s="15" t="n">
        <f aca="false">IF(G9&lt;=0.005,0,MIN(G9+M9,S9+IF(G$3=$V9,$U9,0)))</f>
        <v>0</v>
      </c>
      <c r="AC9" s="15" t="n">
        <f aca="false">MAX(0,B9+H9-W9)</f>
        <v>291.219540557861</v>
      </c>
      <c r="AD9" s="15" t="n">
        <f aca="false">MAX(0,C9+I9-X9)</f>
        <v>1763.53474558683</v>
      </c>
      <c r="AE9" s="15" t="n">
        <f aca="false">MAX(0,D9+J9-Y9)</f>
        <v>3060.76234165412</v>
      </c>
      <c r="AF9" s="15" t="n">
        <f aca="false">MAX(0,E9+K9-Z9)</f>
        <v>0</v>
      </c>
      <c r="AG9" s="15" t="n">
        <f aca="false">MAX(0,F9+L9-AA9)</f>
        <v>0</v>
      </c>
      <c r="AH9" s="15" t="n">
        <f aca="false">MAX(0,G9+M9-AB9)</f>
        <v>0</v>
      </c>
      <c r="AI9" s="15" t="n">
        <f aca="false">SUM(H9:M9)</f>
        <v>84.222650581167</v>
      </c>
      <c r="AJ9" s="15" t="n">
        <f aca="false">SUM(AC9:AH9)</f>
        <v>5115.51662779881</v>
      </c>
    </row>
    <row r="10" customFormat="false" ht="15" hidden="false" customHeight="false" outlineLevel="0" collapsed="false">
      <c r="A10" s="0" t="n">
        <v>6</v>
      </c>
      <c r="B10" s="15" t="n">
        <f aca="false">AC9</f>
        <v>291.219540557861</v>
      </c>
      <c r="C10" s="15" t="n">
        <f aca="false">AD9</f>
        <v>1763.53474558683</v>
      </c>
      <c r="D10" s="15" t="n">
        <f aca="false">AE9</f>
        <v>3060.76234165412</v>
      </c>
      <c r="E10" s="15" t="n">
        <f aca="false">AF9</f>
        <v>0</v>
      </c>
      <c r="F10" s="15" t="n">
        <f aca="false">AG9</f>
        <v>0</v>
      </c>
      <c r="G10" s="15" t="n">
        <f aca="false">AH9</f>
        <v>0</v>
      </c>
      <c r="H10" s="15" t="n">
        <f aca="false">B10*N(Debts!C7)/12</f>
        <v>3.64024425697327</v>
      </c>
      <c r="I10" s="15" t="n">
        <f aca="false">C10*N(Debts!C8)/12</f>
        <v>11.7568983039122</v>
      </c>
      <c r="J10" s="15" t="n">
        <f aca="false">D10*N(Debts!C9)/12</f>
        <v>66.3165174025058</v>
      </c>
      <c r="K10" s="15" t="n">
        <f aca="false">E10*N(Debts!C10)/12</f>
        <v>0</v>
      </c>
      <c r="L10" s="15" t="n">
        <f aca="false">F10*N(Debts!C11)/12</f>
        <v>0</v>
      </c>
      <c r="M10" s="15" t="n">
        <f aca="false">G10*N(Debts!C12)/12</f>
        <v>0</v>
      </c>
      <c r="N10" s="15" t="n">
        <f aca="false">MIN(B10+H10,N(Debts!D7))</f>
        <v>30</v>
      </c>
      <c r="O10" s="15" t="n">
        <f aca="false">MIN(C10+I10,N(Debts!D8))</f>
        <v>60</v>
      </c>
      <c r="P10" s="15" t="n">
        <f aca="false">MIN(D10+J10,N(Debts!D9))</f>
        <v>96</v>
      </c>
      <c r="Q10" s="15" t="n">
        <f aca="false">MIN(E10+K10,N(Debts!D10))</f>
        <v>0</v>
      </c>
      <c r="R10" s="15" t="n">
        <f aca="false">MIN(F10+L10,N(Debts!D11))</f>
        <v>0</v>
      </c>
      <c r="S10" s="15" t="n">
        <f aca="false">MIN(G10+M10,N(Debts!D12))</f>
        <v>0</v>
      </c>
      <c r="T10" s="15" t="n">
        <f aca="false">Debts!$B$14</f>
        <v>286</v>
      </c>
      <c r="U10" s="15" t="n">
        <f aca="false">MAX(0,T10-SUM(N10:S10))</f>
        <v>100</v>
      </c>
      <c r="V10" s="16" t="n">
        <f aca="false">_xlfn.MINIFS($B$3:$G$3,B10:G10,"&gt;0.005")</f>
        <v>1</v>
      </c>
      <c r="W10" s="15" t="n">
        <f aca="false">IF(B10&lt;=0.005,0,MIN(B10+H10,N10+IF(B$3=$V10,$U10,0)))</f>
        <v>130</v>
      </c>
      <c r="X10" s="15" t="n">
        <f aca="false">IF(C10&lt;=0.005,0,MIN(C10+I10,O10+IF(C$3=$V10,$U10,0)))</f>
        <v>60</v>
      </c>
      <c r="Y10" s="15" t="n">
        <f aca="false">IF(D10&lt;=0.005,0,MIN(D10+J10,P10+IF(D$3=$V10,$U10,0)))</f>
        <v>96</v>
      </c>
      <c r="Z10" s="15" t="n">
        <f aca="false">IF(E10&lt;=0.005,0,MIN(E10+K10,Q10+IF(E$3=$V10,$U10,0)))</f>
        <v>0</v>
      </c>
      <c r="AA10" s="15" t="n">
        <f aca="false">IF(F10&lt;=0.005,0,MIN(F10+L10,R10+IF(F$3=$V10,$U10,0)))</f>
        <v>0</v>
      </c>
      <c r="AB10" s="15" t="n">
        <f aca="false">IF(G10&lt;=0.005,0,MIN(G10+M10,S10+IF(G$3=$V10,$U10,0)))</f>
        <v>0</v>
      </c>
      <c r="AC10" s="15" t="n">
        <f aca="false">MAX(0,B10+H10-W10)</f>
        <v>164.859784814835</v>
      </c>
      <c r="AD10" s="15" t="n">
        <f aca="false">MAX(0,C10+I10-X10)</f>
        <v>1715.29164389074</v>
      </c>
      <c r="AE10" s="15" t="n">
        <f aca="false">MAX(0,D10+J10-Y10)</f>
        <v>3031.07885905662</v>
      </c>
      <c r="AF10" s="15" t="n">
        <f aca="false">MAX(0,E10+K10-Z10)</f>
        <v>0</v>
      </c>
      <c r="AG10" s="15" t="n">
        <f aca="false">MAX(0,F10+L10-AA10)</f>
        <v>0</v>
      </c>
      <c r="AH10" s="15" t="n">
        <f aca="false">MAX(0,G10+M10-AB10)</f>
        <v>0</v>
      </c>
      <c r="AI10" s="15" t="n">
        <f aca="false">SUM(H10:M10)</f>
        <v>81.7136599633913</v>
      </c>
      <c r="AJ10" s="15" t="n">
        <f aca="false">SUM(AC10:AH10)</f>
        <v>4911.2302877622</v>
      </c>
    </row>
    <row r="11" customFormat="false" ht="15" hidden="false" customHeight="false" outlineLevel="0" collapsed="false">
      <c r="A11" s="0" t="n">
        <v>7</v>
      </c>
      <c r="B11" s="15" t="n">
        <f aca="false">AC10</f>
        <v>164.859784814835</v>
      </c>
      <c r="C11" s="15" t="n">
        <f aca="false">AD10</f>
        <v>1715.29164389074</v>
      </c>
      <c r="D11" s="15" t="n">
        <f aca="false">AE10</f>
        <v>3031.07885905662</v>
      </c>
      <c r="E11" s="15" t="n">
        <f aca="false">AF10</f>
        <v>0</v>
      </c>
      <c r="F11" s="15" t="n">
        <f aca="false">AG10</f>
        <v>0</v>
      </c>
      <c r="G11" s="15" t="n">
        <f aca="false">AH10</f>
        <v>0</v>
      </c>
      <c r="H11" s="15" t="n">
        <f aca="false">B11*N(Debts!C7)/12</f>
        <v>2.06074731018543</v>
      </c>
      <c r="I11" s="15" t="n">
        <f aca="false">C11*N(Debts!C8)/12</f>
        <v>11.4352776259383</v>
      </c>
      <c r="J11" s="15" t="n">
        <f aca="false">D11*N(Debts!C9)/12</f>
        <v>65.6733752795601</v>
      </c>
      <c r="K11" s="15" t="n">
        <f aca="false">E11*N(Debts!C10)/12</f>
        <v>0</v>
      </c>
      <c r="L11" s="15" t="n">
        <f aca="false">F11*N(Debts!C11)/12</f>
        <v>0</v>
      </c>
      <c r="M11" s="15" t="n">
        <f aca="false">G11*N(Debts!C12)/12</f>
        <v>0</v>
      </c>
      <c r="N11" s="15" t="n">
        <f aca="false">MIN(B11+H11,N(Debts!D7))</f>
        <v>30</v>
      </c>
      <c r="O11" s="15" t="n">
        <f aca="false">MIN(C11+I11,N(Debts!D8))</f>
        <v>60</v>
      </c>
      <c r="P11" s="15" t="n">
        <f aca="false">MIN(D11+J11,N(Debts!D9))</f>
        <v>96</v>
      </c>
      <c r="Q11" s="15" t="n">
        <f aca="false">MIN(E11+K11,N(Debts!D10))</f>
        <v>0</v>
      </c>
      <c r="R11" s="15" t="n">
        <f aca="false">MIN(F11+L11,N(Debts!D11))</f>
        <v>0</v>
      </c>
      <c r="S11" s="15" t="n">
        <f aca="false">MIN(G11+M11,N(Debts!D12))</f>
        <v>0</v>
      </c>
      <c r="T11" s="15" t="n">
        <f aca="false">Debts!$B$14</f>
        <v>286</v>
      </c>
      <c r="U11" s="15" t="n">
        <f aca="false">MAX(0,T11-SUM(N11:S11))</f>
        <v>100</v>
      </c>
      <c r="V11" s="16" t="n">
        <f aca="false">_xlfn.MINIFS($B$3:$G$3,B11:G11,"&gt;0.005")</f>
        <v>1</v>
      </c>
      <c r="W11" s="15" t="n">
        <f aca="false">IF(B11&lt;=0.005,0,MIN(B11+H11,N11+IF(B$3=$V11,$U11,0)))</f>
        <v>130</v>
      </c>
      <c r="X11" s="15" t="n">
        <f aca="false">IF(C11&lt;=0.005,0,MIN(C11+I11,O11+IF(C$3=$V11,$U11,0)))</f>
        <v>60</v>
      </c>
      <c r="Y11" s="15" t="n">
        <f aca="false">IF(D11&lt;=0.005,0,MIN(D11+J11,P11+IF(D$3=$V11,$U11,0)))</f>
        <v>96</v>
      </c>
      <c r="Z11" s="15" t="n">
        <f aca="false">IF(E11&lt;=0.005,0,MIN(E11+K11,Q11+IF(E$3=$V11,$U11,0)))</f>
        <v>0</v>
      </c>
      <c r="AA11" s="15" t="n">
        <f aca="false">IF(F11&lt;=0.005,0,MIN(F11+L11,R11+IF(F$3=$V11,$U11,0)))</f>
        <v>0</v>
      </c>
      <c r="AB11" s="15" t="n">
        <f aca="false">IF(G11&lt;=0.005,0,MIN(G11+M11,S11+IF(G$3=$V11,$U11,0)))</f>
        <v>0</v>
      </c>
      <c r="AC11" s="15" t="n">
        <f aca="false">MAX(0,B11+H11-W11)</f>
        <v>36.92053212502</v>
      </c>
      <c r="AD11" s="15" t="n">
        <f aca="false">MAX(0,C11+I11-X11)</f>
        <v>1666.72692151668</v>
      </c>
      <c r="AE11" s="15" t="n">
        <f aca="false">MAX(0,D11+J11-Y11)</f>
        <v>3000.75223433618</v>
      </c>
      <c r="AF11" s="15" t="n">
        <f aca="false">MAX(0,E11+K11-Z11)</f>
        <v>0</v>
      </c>
      <c r="AG11" s="15" t="n">
        <f aca="false">MAX(0,F11+L11-AA11)</f>
        <v>0</v>
      </c>
      <c r="AH11" s="15" t="n">
        <f aca="false">MAX(0,G11+M11-AB11)</f>
        <v>0</v>
      </c>
      <c r="AI11" s="15" t="n">
        <f aca="false">SUM(H11:M11)</f>
        <v>79.1694002156838</v>
      </c>
      <c r="AJ11" s="15" t="n">
        <f aca="false">SUM(AC11:AH11)</f>
        <v>4704.39968797788</v>
      </c>
    </row>
    <row r="12" customFormat="false" ht="15" hidden="false" customHeight="false" outlineLevel="0" collapsed="false">
      <c r="A12" s="0" t="n">
        <v>8</v>
      </c>
      <c r="B12" s="15" t="n">
        <f aca="false">AC11</f>
        <v>36.92053212502</v>
      </c>
      <c r="C12" s="15" t="n">
        <f aca="false">AD11</f>
        <v>1666.72692151668</v>
      </c>
      <c r="D12" s="15" t="n">
        <f aca="false">AE11</f>
        <v>3000.75223433618</v>
      </c>
      <c r="E12" s="15" t="n">
        <f aca="false">AF11</f>
        <v>0</v>
      </c>
      <c r="F12" s="15" t="n">
        <f aca="false">AG11</f>
        <v>0</v>
      </c>
      <c r="G12" s="15" t="n">
        <f aca="false">AH11</f>
        <v>0</v>
      </c>
      <c r="H12" s="15" t="n">
        <f aca="false">B12*N(Debts!C7)/12</f>
        <v>0.46150665156275</v>
      </c>
      <c r="I12" s="15" t="n">
        <f aca="false">C12*N(Debts!C8)/12</f>
        <v>11.1115128101112</v>
      </c>
      <c r="J12" s="15" t="n">
        <f aca="false">D12*N(Debts!C9)/12</f>
        <v>65.0162984106173</v>
      </c>
      <c r="K12" s="15" t="n">
        <f aca="false">E12*N(Debts!C10)/12</f>
        <v>0</v>
      </c>
      <c r="L12" s="15" t="n">
        <f aca="false">F12*N(Debts!C11)/12</f>
        <v>0</v>
      </c>
      <c r="M12" s="15" t="n">
        <f aca="false">G12*N(Debts!C12)/12</f>
        <v>0</v>
      </c>
      <c r="N12" s="15" t="n">
        <f aca="false">MIN(B12+H12,N(Debts!D7))</f>
        <v>30</v>
      </c>
      <c r="O12" s="15" t="n">
        <f aca="false">MIN(C12+I12,N(Debts!D8))</f>
        <v>60</v>
      </c>
      <c r="P12" s="15" t="n">
        <f aca="false">MIN(D12+J12,N(Debts!D9))</f>
        <v>96</v>
      </c>
      <c r="Q12" s="15" t="n">
        <f aca="false">MIN(E12+K12,N(Debts!D10))</f>
        <v>0</v>
      </c>
      <c r="R12" s="15" t="n">
        <f aca="false">MIN(F12+L12,N(Debts!D11))</f>
        <v>0</v>
      </c>
      <c r="S12" s="15" t="n">
        <f aca="false">MIN(G12+M12,N(Debts!D12))</f>
        <v>0</v>
      </c>
      <c r="T12" s="15" t="n">
        <f aca="false">Debts!$B$14</f>
        <v>286</v>
      </c>
      <c r="U12" s="15" t="n">
        <f aca="false">MAX(0,T12-SUM(N12:S12))</f>
        <v>100</v>
      </c>
      <c r="V12" s="16" t="n">
        <f aca="false">_xlfn.MINIFS($B$3:$G$3,B12:G12,"&gt;0.005")</f>
        <v>1</v>
      </c>
      <c r="W12" s="15" t="n">
        <f aca="false">IF(B12&lt;=0.005,0,MIN(B12+H12,N12+IF(B$3=$V12,$U12,0)))</f>
        <v>37.3820387765828</v>
      </c>
      <c r="X12" s="15" t="n">
        <f aca="false">IF(C12&lt;=0.005,0,MIN(C12+I12,O12+IF(C$3=$V12,$U12,0)))</f>
        <v>60</v>
      </c>
      <c r="Y12" s="15" t="n">
        <f aca="false">IF(D12&lt;=0.005,0,MIN(D12+J12,P12+IF(D$3=$V12,$U12,0)))</f>
        <v>96</v>
      </c>
      <c r="Z12" s="15" t="n">
        <f aca="false">IF(E12&lt;=0.005,0,MIN(E12+K12,Q12+IF(E$3=$V12,$U12,0)))</f>
        <v>0</v>
      </c>
      <c r="AA12" s="15" t="n">
        <f aca="false">IF(F12&lt;=0.005,0,MIN(F12+L12,R12+IF(F$3=$V12,$U12,0)))</f>
        <v>0</v>
      </c>
      <c r="AB12" s="15" t="n">
        <f aca="false">IF(G12&lt;=0.005,0,MIN(G12+M12,S12+IF(G$3=$V12,$U12,0)))</f>
        <v>0</v>
      </c>
      <c r="AC12" s="15" t="n">
        <f aca="false">MAX(0,B12+H12-W12)</f>
        <v>0</v>
      </c>
      <c r="AD12" s="15" t="n">
        <f aca="false">MAX(0,C12+I12-X12)</f>
        <v>1617.83843432679</v>
      </c>
      <c r="AE12" s="15" t="n">
        <f aca="false">MAX(0,D12+J12-Y12)</f>
        <v>2969.7685327468</v>
      </c>
      <c r="AF12" s="15" t="n">
        <f aca="false">MAX(0,E12+K12-Z12)</f>
        <v>0</v>
      </c>
      <c r="AG12" s="15" t="n">
        <f aca="false">MAX(0,F12+L12-AA12)</f>
        <v>0</v>
      </c>
      <c r="AH12" s="15" t="n">
        <f aca="false">MAX(0,G12+M12-AB12)</f>
        <v>0</v>
      </c>
      <c r="AI12" s="15" t="n">
        <f aca="false">SUM(H12:M12)</f>
        <v>76.5893178722912</v>
      </c>
      <c r="AJ12" s="15" t="n">
        <f aca="false">SUM(AC12:AH12)</f>
        <v>4587.60696707359</v>
      </c>
    </row>
    <row r="13" customFormat="false" ht="15" hidden="false" customHeight="false" outlineLevel="0" collapsed="false">
      <c r="A13" s="0" t="n">
        <v>9</v>
      </c>
      <c r="B13" s="15" t="n">
        <f aca="false">AC12</f>
        <v>0</v>
      </c>
      <c r="C13" s="15" t="n">
        <f aca="false">AD12</f>
        <v>1617.83843432679</v>
      </c>
      <c r="D13" s="15" t="n">
        <f aca="false">AE12</f>
        <v>2969.7685327468</v>
      </c>
      <c r="E13" s="15" t="n">
        <f aca="false">AF12</f>
        <v>0</v>
      </c>
      <c r="F13" s="15" t="n">
        <f aca="false">AG12</f>
        <v>0</v>
      </c>
      <c r="G13" s="15" t="n">
        <f aca="false">AH12</f>
        <v>0</v>
      </c>
      <c r="H13" s="15" t="n">
        <f aca="false">B13*N(Debts!C7)/12</f>
        <v>0</v>
      </c>
      <c r="I13" s="15" t="n">
        <f aca="false">C13*N(Debts!C8)/12</f>
        <v>10.7855895621786</v>
      </c>
      <c r="J13" s="15" t="n">
        <f aca="false">D13*N(Debts!C9)/12</f>
        <v>64.3449848761806</v>
      </c>
      <c r="K13" s="15" t="n">
        <f aca="false">E13*N(Debts!C10)/12</f>
        <v>0</v>
      </c>
      <c r="L13" s="15" t="n">
        <f aca="false">F13*N(Debts!C11)/12</f>
        <v>0</v>
      </c>
      <c r="M13" s="15" t="n">
        <f aca="false">G13*N(Debts!C12)/12</f>
        <v>0</v>
      </c>
      <c r="N13" s="15" t="n">
        <f aca="false">MIN(B13+H13,N(Debts!D7))</f>
        <v>0</v>
      </c>
      <c r="O13" s="15" t="n">
        <f aca="false">MIN(C13+I13,N(Debts!D8))</f>
        <v>60</v>
      </c>
      <c r="P13" s="15" t="n">
        <f aca="false">MIN(D13+J13,N(Debts!D9))</f>
        <v>96</v>
      </c>
      <c r="Q13" s="15" t="n">
        <f aca="false">MIN(E13+K13,N(Debts!D10))</f>
        <v>0</v>
      </c>
      <c r="R13" s="15" t="n">
        <f aca="false">MIN(F13+L13,N(Debts!D11))</f>
        <v>0</v>
      </c>
      <c r="S13" s="15" t="n">
        <f aca="false">MIN(G13+M13,N(Debts!D12))</f>
        <v>0</v>
      </c>
      <c r="T13" s="15" t="n">
        <f aca="false">Debts!$B$14</f>
        <v>286</v>
      </c>
      <c r="U13" s="15" t="n">
        <f aca="false">MAX(0,T13-SUM(N13:S13))</f>
        <v>130</v>
      </c>
      <c r="V13" s="16" t="n">
        <f aca="false">_xlfn.MINIFS($B$3:$G$3,B13:G13,"&gt;0.005")</f>
        <v>2</v>
      </c>
      <c r="W13" s="15" t="n">
        <f aca="false">IF(B13&lt;=0.005,0,MIN(B13+H13,N13+IF(B$3=$V13,$U13,0)))</f>
        <v>0</v>
      </c>
      <c r="X13" s="15" t="n">
        <f aca="false">IF(C13&lt;=0.005,0,MIN(C13+I13,O13+IF(C$3=$V13,$U13,0)))</f>
        <v>190</v>
      </c>
      <c r="Y13" s="15" t="n">
        <f aca="false">IF(D13&lt;=0.005,0,MIN(D13+J13,P13+IF(D$3=$V13,$U13,0)))</f>
        <v>96</v>
      </c>
      <c r="Z13" s="15" t="n">
        <f aca="false">IF(E13&lt;=0.005,0,MIN(E13+K13,Q13+IF(E$3=$V13,$U13,0)))</f>
        <v>0</v>
      </c>
      <c r="AA13" s="15" t="n">
        <f aca="false">IF(F13&lt;=0.005,0,MIN(F13+L13,R13+IF(F$3=$V13,$U13,0)))</f>
        <v>0</v>
      </c>
      <c r="AB13" s="15" t="n">
        <f aca="false">IF(G13&lt;=0.005,0,MIN(G13+M13,S13+IF(G$3=$V13,$U13,0)))</f>
        <v>0</v>
      </c>
      <c r="AC13" s="15" t="n">
        <f aca="false">MAX(0,B13+H13-W13)</f>
        <v>0</v>
      </c>
      <c r="AD13" s="15" t="n">
        <f aca="false">MAX(0,C13+I13-X13)</f>
        <v>1438.62402388897</v>
      </c>
      <c r="AE13" s="15" t="n">
        <f aca="false">MAX(0,D13+J13-Y13)</f>
        <v>2938.11351762298</v>
      </c>
      <c r="AF13" s="15" t="n">
        <f aca="false">MAX(0,E13+K13-Z13)</f>
        <v>0</v>
      </c>
      <c r="AG13" s="15" t="n">
        <f aca="false">MAX(0,F13+L13-AA13)</f>
        <v>0</v>
      </c>
      <c r="AH13" s="15" t="n">
        <f aca="false">MAX(0,G13+M13-AB13)</f>
        <v>0</v>
      </c>
      <c r="AI13" s="15" t="n">
        <f aca="false">SUM(H13:M13)</f>
        <v>75.1305744383593</v>
      </c>
      <c r="AJ13" s="15" t="n">
        <f aca="false">SUM(AC13:AH13)</f>
        <v>4376.73754151195</v>
      </c>
    </row>
    <row r="14" customFormat="false" ht="15" hidden="false" customHeight="false" outlineLevel="0" collapsed="false">
      <c r="A14" s="0" t="n">
        <v>10</v>
      </c>
      <c r="B14" s="15" t="n">
        <f aca="false">AC13</f>
        <v>0</v>
      </c>
      <c r="C14" s="15" t="n">
        <f aca="false">AD13</f>
        <v>1438.62402388897</v>
      </c>
      <c r="D14" s="15" t="n">
        <f aca="false">AE13</f>
        <v>2938.11351762298</v>
      </c>
      <c r="E14" s="15" t="n">
        <f aca="false">AF13</f>
        <v>0</v>
      </c>
      <c r="F14" s="15" t="n">
        <f aca="false">AG13</f>
        <v>0</v>
      </c>
      <c r="G14" s="15" t="n">
        <f aca="false">AH13</f>
        <v>0</v>
      </c>
      <c r="H14" s="15" t="n">
        <f aca="false">B14*N(Debts!C7)/12</f>
        <v>0</v>
      </c>
      <c r="I14" s="15" t="n">
        <f aca="false">C14*N(Debts!C8)/12</f>
        <v>9.59082682592648</v>
      </c>
      <c r="J14" s="15" t="n">
        <f aca="false">D14*N(Debts!C9)/12</f>
        <v>63.6591262151646</v>
      </c>
      <c r="K14" s="15" t="n">
        <f aca="false">E14*N(Debts!C10)/12</f>
        <v>0</v>
      </c>
      <c r="L14" s="15" t="n">
        <f aca="false">F14*N(Debts!C11)/12</f>
        <v>0</v>
      </c>
      <c r="M14" s="15" t="n">
        <f aca="false">G14*N(Debts!C12)/12</f>
        <v>0</v>
      </c>
      <c r="N14" s="15" t="n">
        <f aca="false">MIN(B14+H14,N(Debts!D7))</f>
        <v>0</v>
      </c>
      <c r="O14" s="15" t="n">
        <f aca="false">MIN(C14+I14,N(Debts!D8))</f>
        <v>60</v>
      </c>
      <c r="P14" s="15" t="n">
        <f aca="false">MIN(D14+J14,N(Debts!D9))</f>
        <v>96</v>
      </c>
      <c r="Q14" s="15" t="n">
        <f aca="false">MIN(E14+K14,N(Debts!D10))</f>
        <v>0</v>
      </c>
      <c r="R14" s="15" t="n">
        <f aca="false">MIN(F14+L14,N(Debts!D11))</f>
        <v>0</v>
      </c>
      <c r="S14" s="15" t="n">
        <f aca="false">MIN(G14+M14,N(Debts!D12))</f>
        <v>0</v>
      </c>
      <c r="T14" s="15" t="n">
        <f aca="false">Debts!$B$14</f>
        <v>286</v>
      </c>
      <c r="U14" s="15" t="n">
        <f aca="false">MAX(0,T14-SUM(N14:S14))</f>
        <v>130</v>
      </c>
      <c r="V14" s="16" t="n">
        <f aca="false">_xlfn.MINIFS($B$3:$G$3,B14:G14,"&gt;0.005")</f>
        <v>2</v>
      </c>
      <c r="W14" s="15" t="n">
        <f aca="false">IF(B14&lt;=0.005,0,MIN(B14+H14,N14+IF(B$3=$V14,$U14,0)))</f>
        <v>0</v>
      </c>
      <c r="X14" s="15" t="n">
        <f aca="false">IF(C14&lt;=0.005,0,MIN(C14+I14,O14+IF(C$3=$V14,$U14,0)))</f>
        <v>190</v>
      </c>
      <c r="Y14" s="15" t="n">
        <f aca="false">IF(D14&lt;=0.005,0,MIN(D14+J14,P14+IF(D$3=$V14,$U14,0)))</f>
        <v>96</v>
      </c>
      <c r="Z14" s="15" t="n">
        <f aca="false">IF(E14&lt;=0.005,0,MIN(E14+K14,Q14+IF(E$3=$V14,$U14,0)))</f>
        <v>0</v>
      </c>
      <c r="AA14" s="15" t="n">
        <f aca="false">IF(F14&lt;=0.005,0,MIN(F14+L14,R14+IF(F$3=$V14,$U14,0)))</f>
        <v>0</v>
      </c>
      <c r="AB14" s="15" t="n">
        <f aca="false">IF(G14&lt;=0.005,0,MIN(G14+M14,S14+IF(G$3=$V14,$U14,0)))</f>
        <v>0</v>
      </c>
      <c r="AC14" s="15" t="n">
        <f aca="false">MAX(0,B14+H14-W14)</f>
        <v>0</v>
      </c>
      <c r="AD14" s="15" t="n">
        <f aca="false">MAX(0,C14+I14-X14)</f>
        <v>1258.2148507149</v>
      </c>
      <c r="AE14" s="15" t="n">
        <f aca="false">MAX(0,D14+J14-Y14)</f>
        <v>2905.77264383814</v>
      </c>
      <c r="AF14" s="15" t="n">
        <f aca="false">MAX(0,E14+K14-Z14)</f>
        <v>0</v>
      </c>
      <c r="AG14" s="15" t="n">
        <f aca="false">MAX(0,F14+L14-AA14)</f>
        <v>0</v>
      </c>
      <c r="AH14" s="15" t="n">
        <f aca="false">MAX(0,G14+M14-AB14)</f>
        <v>0</v>
      </c>
      <c r="AI14" s="15" t="n">
        <f aca="false">SUM(H14:M14)</f>
        <v>73.249953041091</v>
      </c>
      <c r="AJ14" s="15" t="n">
        <f aca="false">SUM(AC14:AH14)</f>
        <v>4163.98749455304</v>
      </c>
    </row>
    <row r="15" customFormat="false" ht="15" hidden="false" customHeight="false" outlineLevel="0" collapsed="false">
      <c r="A15" s="0" t="n">
        <v>11</v>
      </c>
      <c r="B15" s="15" t="n">
        <f aca="false">AC14</f>
        <v>0</v>
      </c>
      <c r="C15" s="15" t="n">
        <f aca="false">AD14</f>
        <v>1258.2148507149</v>
      </c>
      <c r="D15" s="15" t="n">
        <f aca="false">AE14</f>
        <v>2905.77264383814</v>
      </c>
      <c r="E15" s="15" t="n">
        <f aca="false">AF14</f>
        <v>0</v>
      </c>
      <c r="F15" s="15" t="n">
        <f aca="false">AG14</f>
        <v>0</v>
      </c>
      <c r="G15" s="15" t="n">
        <f aca="false">AH14</f>
        <v>0</v>
      </c>
      <c r="H15" s="15" t="n">
        <f aca="false">B15*N(Debts!C7)/12</f>
        <v>0</v>
      </c>
      <c r="I15" s="15" t="n">
        <f aca="false">C15*N(Debts!C8)/12</f>
        <v>8.38809900476599</v>
      </c>
      <c r="J15" s="15" t="n">
        <f aca="false">D15*N(Debts!C9)/12</f>
        <v>62.9584072831598</v>
      </c>
      <c r="K15" s="15" t="n">
        <f aca="false">E15*N(Debts!C10)/12</f>
        <v>0</v>
      </c>
      <c r="L15" s="15" t="n">
        <f aca="false">F15*N(Debts!C11)/12</f>
        <v>0</v>
      </c>
      <c r="M15" s="15" t="n">
        <f aca="false">G15*N(Debts!C12)/12</f>
        <v>0</v>
      </c>
      <c r="N15" s="15" t="n">
        <f aca="false">MIN(B15+H15,N(Debts!D7))</f>
        <v>0</v>
      </c>
      <c r="O15" s="15" t="n">
        <f aca="false">MIN(C15+I15,N(Debts!D8))</f>
        <v>60</v>
      </c>
      <c r="P15" s="15" t="n">
        <f aca="false">MIN(D15+J15,N(Debts!D9))</f>
        <v>96</v>
      </c>
      <c r="Q15" s="15" t="n">
        <f aca="false">MIN(E15+K15,N(Debts!D10))</f>
        <v>0</v>
      </c>
      <c r="R15" s="15" t="n">
        <f aca="false">MIN(F15+L15,N(Debts!D11))</f>
        <v>0</v>
      </c>
      <c r="S15" s="15" t="n">
        <f aca="false">MIN(G15+M15,N(Debts!D12))</f>
        <v>0</v>
      </c>
      <c r="T15" s="15" t="n">
        <f aca="false">Debts!$B$14</f>
        <v>286</v>
      </c>
      <c r="U15" s="15" t="n">
        <f aca="false">MAX(0,T15-SUM(N15:S15))</f>
        <v>130</v>
      </c>
      <c r="V15" s="16" t="n">
        <f aca="false">_xlfn.MINIFS($B$3:$G$3,B15:G15,"&gt;0.005")</f>
        <v>2</v>
      </c>
      <c r="W15" s="15" t="n">
        <f aca="false">IF(B15&lt;=0.005,0,MIN(B15+H15,N15+IF(B$3=$V15,$U15,0)))</f>
        <v>0</v>
      </c>
      <c r="X15" s="15" t="n">
        <f aca="false">IF(C15&lt;=0.005,0,MIN(C15+I15,O15+IF(C$3=$V15,$U15,0)))</f>
        <v>190</v>
      </c>
      <c r="Y15" s="15" t="n">
        <f aca="false">IF(D15&lt;=0.005,0,MIN(D15+J15,P15+IF(D$3=$V15,$U15,0)))</f>
        <v>96</v>
      </c>
      <c r="Z15" s="15" t="n">
        <f aca="false">IF(E15&lt;=0.005,0,MIN(E15+K15,Q15+IF(E$3=$V15,$U15,0)))</f>
        <v>0</v>
      </c>
      <c r="AA15" s="15" t="n">
        <f aca="false">IF(F15&lt;=0.005,0,MIN(F15+L15,R15+IF(F$3=$V15,$U15,0)))</f>
        <v>0</v>
      </c>
      <c r="AB15" s="15" t="n">
        <f aca="false">IF(G15&lt;=0.005,0,MIN(G15+M15,S15+IF(G$3=$V15,$U15,0)))</f>
        <v>0</v>
      </c>
      <c r="AC15" s="15" t="n">
        <f aca="false">MAX(0,B15+H15-W15)</f>
        <v>0</v>
      </c>
      <c r="AD15" s="15" t="n">
        <f aca="false">MAX(0,C15+I15-X15)</f>
        <v>1076.60294971966</v>
      </c>
      <c r="AE15" s="15" t="n">
        <f aca="false">MAX(0,D15+J15-Y15)</f>
        <v>2872.7310511213</v>
      </c>
      <c r="AF15" s="15" t="n">
        <f aca="false">MAX(0,E15+K15-Z15)</f>
        <v>0</v>
      </c>
      <c r="AG15" s="15" t="n">
        <f aca="false">MAX(0,F15+L15-AA15)</f>
        <v>0</v>
      </c>
      <c r="AH15" s="15" t="n">
        <f aca="false">MAX(0,G15+M15-AB15)</f>
        <v>0</v>
      </c>
      <c r="AI15" s="15" t="n">
        <f aca="false">SUM(H15:M15)</f>
        <v>71.3465062879258</v>
      </c>
      <c r="AJ15" s="15" t="n">
        <f aca="false">SUM(AC15:AH15)</f>
        <v>3949.33400084097</v>
      </c>
    </row>
    <row r="16" customFormat="false" ht="15" hidden="false" customHeight="false" outlineLevel="0" collapsed="false">
      <c r="A16" s="0" t="n">
        <v>12</v>
      </c>
      <c r="B16" s="15" t="n">
        <f aca="false">AC15</f>
        <v>0</v>
      </c>
      <c r="C16" s="15" t="n">
        <f aca="false">AD15</f>
        <v>1076.60294971966</v>
      </c>
      <c r="D16" s="15" t="n">
        <f aca="false">AE15</f>
        <v>2872.7310511213</v>
      </c>
      <c r="E16" s="15" t="n">
        <f aca="false">AF15</f>
        <v>0</v>
      </c>
      <c r="F16" s="15" t="n">
        <f aca="false">AG15</f>
        <v>0</v>
      </c>
      <c r="G16" s="15" t="n">
        <f aca="false">AH15</f>
        <v>0</v>
      </c>
      <c r="H16" s="15" t="n">
        <f aca="false">B16*N(Debts!C7)/12</f>
        <v>0</v>
      </c>
      <c r="I16" s="15" t="n">
        <f aca="false">C16*N(Debts!C8)/12</f>
        <v>7.17735299813109</v>
      </c>
      <c r="J16" s="15" t="n">
        <f aca="false">D16*N(Debts!C9)/12</f>
        <v>62.2425061076283</v>
      </c>
      <c r="K16" s="15" t="n">
        <f aca="false">E16*N(Debts!C10)/12</f>
        <v>0</v>
      </c>
      <c r="L16" s="15" t="n">
        <f aca="false">F16*N(Debts!C11)/12</f>
        <v>0</v>
      </c>
      <c r="M16" s="15" t="n">
        <f aca="false">G16*N(Debts!C12)/12</f>
        <v>0</v>
      </c>
      <c r="N16" s="15" t="n">
        <f aca="false">MIN(B16+H16,N(Debts!D7))</f>
        <v>0</v>
      </c>
      <c r="O16" s="15" t="n">
        <f aca="false">MIN(C16+I16,N(Debts!D8))</f>
        <v>60</v>
      </c>
      <c r="P16" s="15" t="n">
        <f aca="false">MIN(D16+J16,N(Debts!D9))</f>
        <v>96</v>
      </c>
      <c r="Q16" s="15" t="n">
        <f aca="false">MIN(E16+K16,N(Debts!D10))</f>
        <v>0</v>
      </c>
      <c r="R16" s="15" t="n">
        <f aca="false">MIN(F16+L16,N(Debts!D11))</f>
        <v>0</v>
      </c>
      <c r="S16" s="15" t="n">
        <f aca="false">MIN(G16+M16,N(Debts!D12))</f>
        <v>0</v>
      </c>
      <c r="T16" s="15" t="n">
        <f aca="false">Debts!$B$14</f>
        <v>286</v>
      </c>
      <c r="U16" s="15" t="n">
        <f aca="false">MAX(0,T16-SUM(N16:S16))</f>
        <v>130</v>
      </c>
      <c r="V16" s="16" t="n">
        <f aca="false">_xlfn.MINIFS($B$3:$G$3,B16:G16,"&gt;0.005")</f>
        <v>2</v>
      </c>
      <c r="W16" s="15" t="n">
        <f aca="false">IF(B16&lt;=0.005,0,MIN(B16+H16,N16+IF(B$3=$V16,$U16,0)))</f>
        <v>0</v>
      </c>
      <c r="X16" s="15" t="n">
        <f aca="false">IF(C16&lt;=0.005,0,MIN(C16+I16,O16+IF(C$3=$V16,$U16,0)))</f>
        <v>190</v>
      </c>
      <c r="Y16" s="15" t="n">
        <f aca="false">IF(D16&lt;=0.005,0,MIN(D16+J16,P16+IF(D$3=$V16,$U16,0)))</f>
        <v>96</v>
      </c>
      <c r="Z16" s="15" t="n">
        <f aca="false">IF(E16&lt;=0.005,0,MIN(E16+K16,Q16+IF(E$3=$V16,$U16,0)))</f>
        <v>0</v>
      </c>
      <c r="AA16" s="15" t="n">
        <f aca="false">IF(F16&lt;=0.005,0,MIN(F16+L16,R16+IF(F$3=$V16,$U16,0)))</f>
        <v>0</v>
      </c>
      <c r="AB16" s="15" t="n">
        <f aca="false">IF(G16&lt;=0.005,0,MIN(G16+M16,S16+IF(G$3=$V16,$U16,0)))</f>
        <v>0</v>
      </c>
      <c r="AC16" s="15" t="n">
        <f aca="false">MAX(0,B16+H16-W16)</f>
        <v>0</v>
      </c>
      <c r="AD16" s="15" t="n">
        <f aca="false">MAX(0,C16+I16-X16)</f>
        <v>893.780302717795</v>
      </c>
      <c r="AE16" s="15" t="n">
        <f aca="false">MAX(0,D16+J16-Y16)</f>
        <v>2838.97355722893</v>
      </c>
      <c r="AF16" s="15" t="n">
        <f aca="false">MAX(0,E16+K16-Z16)</f>
        <v>0</v>
      </c>
      <c r="AG16" s="15" t="n">
        <f aca="false">MAX(0,F16+L16-AA16)</f>
        <v>0</v>
      </c>
      <c r="AH16" s="15" t="n">
        <f aca="false">MAX(0,G16+M16-AB16)</f>
        <v>0</v>
      </c>
      <c r="AI16" s="15" t="n">
        <f aca="false">SUM(H16:M16)</f>
        <v>69.4198591057593</v>
      </c>
      <c r="AJ16" s="15" t="n">
        <f aca="false">SUM(AC16:AH16)</f>
        <v>3732.75385994673</v>
      </c>
    </row>
    <row r="17" customFormat="false" ht="15" hidden="false" customHeight="false" outlineLevel="0" collapsed="false">
      <c r="A17" s="0" t="n">
        <v>13</v>
      </c>
      <c r="B17" s="15" t="n">
        <f aca="false">AC16</f>
        <v>0</v>
      </c>
      <c r="C17" s="15" t="n">
        <f aca="false">AD16</f>
        <v>893.780302717795</v>
      </c>
      <c r="D17" s="15" t="n">
        <f aca="false">AE16</f>
        <v>2838.97355722893</v>
      </c>
      <c r="E17" s="15" t="n">
        <f aca="false">AF16</f>
        <v>0</v>
      </c>
      <c r="F17" s="15" t="n">
        <f aca="false">AG16</f>
        <v>0</v>
      </c>
      <c r="G17" s="15" t="n">
        <f aca="false">AH16</f>
        <v>0</v>
      </c>
      <c r="H17" s="15" t="n">
        <f aca="false">B17*N(Debts!C7)/12</f>
        <v>0</v>
      </c>
      <c r="I17" s="15" t="n">
        <f aca="false">C17*N(Debts!C8)/12</f>
        <v>5.95853535145197</v>
      </c>
      <c r="J17" s="15" t="n">
        <f aca="false">D17*N(Debts!C9)/12</f>
        <v>61.5110937399602</v>
      </c>
      <c r="K17" s="15" t="n">
        <f aca="false">E17*N(Debts!C10)/12</f>
        <v>0</v>
      </c>
      <c r="L17" s="15" t="n">
        <f aca="false">F17*N(Debts!C11)/12</f>
        <v>0</v>
      </c>
      <c r="M17" s="15" t="n">
        <f aca="false">G17*N(Debts!C12)/12</f>
        <v>0</v>
      </c>
      <c r="N17" s="15" t="n">
        <f aca="false">MIN(B17+H17,N(Debts!D7))</f>
        <v>0</v>
      </c>
      <c r="O17" s="15" t="n">
        <f aca="false">MIN(C17+I17,N(Debts!D8))</f>
        <v>60</v>
      </c>
      <c r="P17" s="15" t="n">
        <f aca="false">MIN(D17+J17,N(Debts!D9))</f>
        <v>96</v>
      </c>
      <c r="Q17" s="15" t="n">
        <f aca="false">MIN(E17+K17,N(Debts!D10))</f>
        <v>0</v>
      </c>
      <c r="R17" s="15" t="n">
        <f aca="false">MIN(F17+L17,N(Debts!D11))</f>
        <v>0</v>
      </c>
      <c r="S17" s="15" t="n">
        <f aca="false">MIN(G17+M17,N(Debts!D12))</f>
        <v>0</v>
      </c>
      <c r="T17" s="15" t="n">
        <f aca="false">Debts!$B$14</f>
        <v>286</v>
      </c>
      <c r="U17" s="15" t="n">
        <f aca="false">MAX(0,T17-SUM(N17:S17))</f>
        <v>130</v>
      </c>
      <c r="V17" s="16" t="n">
        <f aca="false">_xlfn.MINIFS($B$3:$G$3,B17:G17,"&gt;0.005")</f>
        <v>2</v>
      </c>
      <c r="W17" s="15" t="n">
        <f aca="false">IF(B17&lt;=0.005,0,MIN(B17+H17,N17+IF(B$3=$V17,$U17,0)))</f>
        <v>0</v>
      </c>
      <c r="X17" s="15" t="n">
        <f aca="false">IF(C17&lt;=0.005,0,MIN(C17+I17,O17+IF(C$3=$V17,$U17,0)))</f>
        <v>190</v>
      </c>
      <c r="Y17" s="15" t="n">
        <f aca="false">IF(D17&lt;=0.005,0,MIN(D17+J17,P17+IF(D$3=$V17,$U17,0)))</f>
        <v>96</v>
      </c>
      <c r="Z17" s="15" t="n">
        <f aca="false">IF(E17&lt;=0.005,0,MIN(E17+K17,Q17+IF(E$3=$V17,$U17,0)))</f>
        <v>0</v>
      </c>
      <c r="AA17" s="15" t="n">
        <f aca="false">IF(F17&lt;=0.005,0,MIN(F17+L17,R17+IF(F$3=$V17,$U17,0)))</f>
        <v>0</v>
      </c>
      <c r="AB17" s="15" t="n">
        <f aca="false">IF(G17&lt;=0.005,0,MIN(G17+M17,S17+IF(G$3=$V17,$U17,0)))</f>
        <v>0</v>
      </c>
      <c r="AC17" s="15" t="n">
        <f aca="false">MAX(0,B17+H17-W17)</f>
        <v>0</v>
      </c>
      <c r="AD17" s="15" t="n">
        <f aca="false">MAX(0,C17+I17-X17)</f>
        <v>709.738838069247</v>
      </c>
      <c r="AE17" s="15" t="n">
        <f aca="false">MAX(0,D17+J17-Y17)</f>
        <v>2804.48465096889</v>
      </c>
      <c r="AF17" s="15" t="n">
        <f aca="false">MAX(0,E17+K17-Z17)</f>
        <v>0</v>
      </c>
      <c r="AG17" s="15" t="n">
        <f aca="false">MAX(0,F17+L17-AA17)</f>
        <v>0</v>
      </c>
      <c r="AH17" s="15" t="n">
        <f aca="false">MAX(0,G17+M17-AB17)</f>
        <v>0</v>
      </c>
      <c r="AI17" s="15" t="n">
        <f aca="false">SUM(H17:M17)</f>
        <v>67.4696290914122</v>
      </c>
      <c r="AJ17" s="15" t="n">
        <f aca="false">SUM(AC17:AH17)</f>
        <v>3514.22348903814</v>
      </c>
    </row>
    <row r="18" customFormat="false" ht="15" hidden="false" customHeight="false" outlineLevel="0" collapsed="false">
      <c r="A18" s="0" t="n">
        <v>14</v>
      </c>
      <c r="B18" s="15" t="n">
        <f aca="false">AC17</f>
        <v>0</v>
      </c>
      <c r="C18" s="15" t="n">
        <f aca="false">AD17</f>
        <v>709.738838069247</v>
      </c>
      <c r="D18" s="15" t="n">
        <f aca="false">AE17</f>
        <v>2804.48465096889</v>
      </c>
      <c r="E18" s="15" t="n">
        <f aca="false">AF17</f>
        <v>0</v>
      </c>
      <c r="F18" s="15" t="n">
        <f aca="false">AG17</f>
        <v>0</v>
      </c>
      <c r="G18" s="15" t="n">
        <f aca="false">AH17</f>
        <v>0</v>
      </c>
      <c r="H18" s="15" t="n">
        <f aca="false">B18*N(Debts!C7)/12</f>
        <v>0</v>
      </c>
      <c r="I18" s="15" t="n">
        <f aca="false">C18*N(Debts!C8)/12</f>
        <v>4.73159225379498</v>
      </c>
      <c r="J18" s="15" t="n">
        <f aca="false">D18*N(Debts!C9)/12</f>
        <v>60.763834104326</v>
      </c>
      <c r="K18" s="15" t="n">
        <f aca="false">E18*N(Debts!C10)/12</f>
        <v>0</v>
      </c>
      <c r="L18" s="15" t="n">
        <f aca="false">F18*N(Debts!C11)/12</f>
        <v>0</v>
      </c>
      <c r="M18" s="15" t="n">
        <f aca="false">G18*N(Debts!C12)/12</f>
        <v>0</v>
      </c>
      <c r="N18" s="15" t="n">
        <f aca="false">MIN(B18+H18,N(Debts!D7))</f>
        <v>0</v>
      </c>
      <c r="O18" s="15" t="n">
        <f aca="false">MIN(C18+I18,N(Debts!D8))</f>
        <v>60</v>
      </c>
      <c r="P18" s="15" t="n">
        <f aca="false">MIN(D18+J18,N(Debts!D9))</f>
        <v>96</v>
      </c>
      <c r="Q18" s="15" t="n">
        <f aca="false">MIN(E18+K18,N(Debts!D10))</f>
        <v>0</v>
      </c>
      <c r="R18" s="15" t="n">
        <f aca="false">MIN(F18+L18,N(Debts!D11))</f>
        <v>0</v>
      </c>
      <c r="S18" s="15" t="n">
        <f aca="false">MIN(G18+M18,N(Debts!D12))</f>
        <v>0</v>
      </c>
      <c r="T18" s="15" t="n">
        <f aca="false">Debts!$B$14</f>
        <v>286</v>
      </c>
      <c r="U18" s="15" t="n">
        <f aca="false">MAX(0,T18-SUM(N18:S18))</f>
        <v>130</v>
      </c>
      <c r="V18" s="16" t="n">
        <f aca="false">_xlfn.MINIFS($B$3:$G$3,B18:G18,"&gt;0.005")</f>
        <v>2</v>
      </c>
      <c r="W18" s="15" t="n">
        <f aca="false">IF(B18&lt;=0.005,0,MIN(B18+H18,N18+IF(B$3=$V18,$U18,0)))</f>
        <v>0</v>
      </c>
      <c r="X18" s="15" t="n">
        <f aca="false">IF(C18&lt;=0.005,0,MIN(C18+I18,O18+IF(C$3=$V18,$U18,0)))</f>
        <v>190</v>
      </c>
      <c r="Y18" s="15" t="n">
        <f aca="false">IF(D18&lt;=0.005,0,MIN(D18+J18,P18+IF(D$3=$V18,$U18,0)))</f>
        <v>96</v>
      </c>
      <c r="Z18" s="15" t="n">
        <f aca="false">IF(E18&lt;=0.005,0,MIN(E18+K18,Q18+IF(E$3=$V18,$U18,0)))</f>
        <v>0</v>
      </c>
      <c r="AA18" s="15" t="n">
        <f aca="false">IF(F18&lt;=0.005,0,MIN(F18+L18,R18+IF(F$3=$V18,$U18,0)))</f>
        <v>0</v>
      </c>
      <c r="AB18" s="15" t="n">
        <f aca="false">IF(G18&lt;=0.005,0,MIN(G18+M18,S18+IF(G$3=$V18,$U18,0)))</f>
        <v>0</v>
      </c>
      <c r="AC18" s="15" t="n">
        <f aca="false">MAX(0,B18+H18-W18)</f>
        <v>0</v>
      </c>
      <c r="AD18" s="15" t="n">
        <f aca="false">MAX(0,C18+I18-X18)</f>
        <v>524.470430323042</v>
      </c>
      <c r="AE18" s="15" t="n">
        <f aca="false">MAX(0,D18+J18-Y18)</f>
        <v>2769.24848507322</v>
      </c>
      <c r="AF18" s="15" t="n">
        <f aca="false">MAX(0,E18+K18-Z18)</f>
        <v>0</v>
      </c>
      <c r="AG18" s="15" t="n">
        <f aca="false">MAX(0,F18+L18-AA18)</f>
        <v>0</v>
      </c>
      <c r="AH18" s="15" t="n">
        <f aca="false">MAX(0,G18+M18-AB18)</f>
        <v>0</v>
      </c>
      <c r="AI18" s="15" t="n">
        <f aca="false">SUM(H18:M18)</f>
        <v>65.495426358121</v>
      </c>
      <c r="AJ18" s="15" t="n">
        <f aca="false">SUM(AC18:AH18)</f>
        <v>3293.71891539626</v>
      </c>
    </row>
    <row r="19" customFormat="false" ht="15" hidden="false" customHeight="false" outlineLevel="0" collapsed="false">
      <c r="A19" s="0" t="n">
        <v>15</v>
      </c>
      <c r="B19" s="15" t="n">
        <f aca="false">AC18</f>
        <v>0</v>
      </c>
      <c r="C19" s="15" t="n">
        <f aca="false">AD18</f>
        <v>524.470430323042</v>
      </c>
      <c r="D19" s="15" t="n">
        <f aca="false">AE18</f>
        <v>2769.24848507322</v>
      </c>
      <c r="E19" s="15" t="n">
        <f aca="false">AF18</f>
        <v>0</v>
      </c>
      <c r="F19" s="15" t="n">
        <f aca="false">AG18</f>
        <v>0</v>
      </c>
      <c r="G19" s="15" t="n">
        <f aca="false">AH18</f>
        <v>0</v>
      </c>
      <c r="H19" s="15" t="n">
        <f aca="false">B19*N(Debts!C7)/12</f>
        <v>0</v>
      </c>
      <c r="I19" s="15" t="n">
        <f aca="false">C19*N(Debts!C8)/12</f>
        <v>3.49646953548695</v>
      </c>
      <c r="J19" s="15" t="n">
        <f aca="false">D19*N(Debts!C9)/12</f>
        <v>60.0003838432531</v>
      </c>
      <c r="K19" s="15" t="n">
        <f aca="false">E19*N(Debts!C10)/12</f>
        <v>0</v>
      </c>
      <c r="L19" s="15" t="n">
        <f aca="false">F19*N(Debts!C11)/12</f>
        <v>0</v>
      </c>
      <c r="M19" s="15" t="n">
        <f aca="false">G19*N(Debts!C12)/12</f>
        <v>0</v>
      </c>
      <c r="N19" s="15" t="n">
        <f aca="false">MIN(B19+H19,N(Debts!D7))</f>
        <v>0</v>
      </c>
      <c r="O19" s="15" t="n">
        <f aca="false">MIN(C19+I19,N(Debts!D8))</f>
        <v>60</v>
      </c>
      <c r="P19" s="15" t="n">
        <f aca="false">MIN(D19+J19,N(Debts!D9))</f>
        <v>96</v>
      </c>
      <c r="Q19" s="15" t="n">
        <f aca="false">MIN(E19+K19,N(Debts!D10))</f>
        <v>0</v>
      </c>
      <c r="R19" s="15" t="n">
        <f aca="false">MIN(F19+L19,N(Debts!D11))</f>
        <v>0</v>
      </c>
      <c r="S19" s="15" t="n">
        <f aca="false">MIN(G19+M19,N(Debts!D12))</f>
        <v>0</v>
      </c>
      <c r="T19" s="15" t="n">
        <f aca="false">Debts!$B$14</f>
        <v>286</v>
      </c>
      <c r="U19" s="15" t="n">
        <f aca="false">MAX(0,T19-SUM(N19:S19))</f>
        <v>130</v>
      </c>
      <c r="V19" s="16" t="n">
        <f aca="false">_xlfn.MINIFS($B$3:$G$3,B19:G19,"&gt;0.005")</f>
        <v>2</v>
      </c>
      <c r="W19" s="15" t="n">
        <f aca="false">IF(B19&lt;=0.005,0,MIN(B19+H19,N19+IF(B$3=$V19,$U19,0)))</f>
        <v>0</v>
      </c>
      <c r="X19" s="15" t="n">
        <f aca="false">IF(C19&lt;=0.005,0,MIN(C19+I19,O19+IF(C$3=$V19,$U19,0)))</f>
        <v>190</v>
      </c>
      <c r="Y19" s="15" t="n">
        <f aca="false">IF(D19&lt;=0.005,0,MIN(D19+J19,P19+IF(D$3=$V19,$U19,0)))</f>
        <v>96</v>
      </c>
      <c r="Z19" s="15" t="n">
        <f aca="false">IF(E19&lt;=0.005,0,MIN(E19+K19,Q19+IF(E$3=$V19,$U19,0)))</f>
        <v>0</v>
      </c>
      <c r="AA19" s="15" t="n">
        <f aca="false">IF(F19&lt;=0.005,0,MIN(F19+L19,R19+IF(F$3=$V19,$U19,0)))</f>
        <v>0</v>
      </c>
      <c r="AB19" s="15" t="n">
        <f aca="false">IF(G19&lt;=0.005,0,MIN(G19+M19,S19+IF(G$3=$V19,$U19,0)))</f>
        <v>0</v>
      </c>
      <c r="AC19" s="15" t="n">
        <f aca="false">MAX(0,B19+H19-W19)</f>
        <v>0</v>
      </c>
      <c r="AD19" s="15" t="n">
        <f aca="false">MAX(0,C19+I19-X19)</f>
        <v>337.966899858529</v>
      </c>
      <c r="AE19" s="15" t="n">
        <f aca="false">MAX(0,D19+J19-Y19)</f>
        <v>2733.24886891647</v>
      </c>
      <c r="AF19" s="15" t="n">
        <f aca="false">MAX(0,E19+K19-Z19)</f>
        <v>0</v>
      </c>
      <c r="AG19" s="15" t="n">
        <f aca="false">MAX(0,F19+L19-AA19)</f>
        <v>0</v>
      </c>
      <c r="AH19" s="15" t="n">
        <f aca="false">MAX(0,G19+M19-AB19)</f>
        <v>0</v>
      </c>
      <c r="AI19" s="15" t="n">
        <f aca="false">SUM(H19:M19)</f>
        <v>63.49685337874</v>
      </c>
      <c r="AJ19" s="15" t="n">
        <f aca="false">SUM(AC19:AH19)</f>
        <v>3071.215768775</v>
      </c>
    </row>
    <row r="20" customFormat="false" ht="15" hidden="false" customHeight="false" outlineLevel="0" collapsed="false">
      <c r="A20" s="0" t="n">
        <v>16</v>
      </c>
      <c r="B20" s="15" t="n">
        <f aca="false">AC19</f>
        <v>0</v>
      </c>
      <c r="C20" s="15" t="n">
        <f aca="false">AD19</f>
        <v>337.966899858529</v>
      </c>
      <c r="D20" s="15" t="n">
        <f aca="false">AE19</f>
        <v>2733.24886891647</v>
      </c>
      <c r="E20" s="15" t="n">
        <f aca="false">AF19</f>
        <v>0</v>
      </c>
      <c r="F20" s="15" t="n">
        <f aca="false">AG19</f>
        <v>0</v>
      </c>
      <c r="G20" s="15" t="n">
        <f aca="false">AH19</f>
        <v>0</v>
      </c>
      <c r="H20" s="15" t="n">
        <f aca="false">B20*N(Debts!C7)/12</f>
        <v>0</v>
      </c>
      <c r="I20" s="15" t="n">
        <f aca="false">C20*N(Debts!C8)/12</f>
        <v>2.25311266572353</v>
      </c>
      <c r="J20" s="15" t="n">
        <f aca="false">D20*N(Debts!C9)/12</f>
        <v>59.2203921598569</v>
      </c>
      <c r="K20" s="15" t="n">
        <f aca="false">E20*N(Debts!C10)/12</f>
        <v>0</v>
      </c>
      <c r="L20" s="15" t="n">
        <f aca="false">F20*N(Debts!C11)/12</f>
        <v>0</v>
      </c>
      <c r="M20" s="15" t="n">
        <f aca="false">G20*N(Debts!C12)/12</f>
        <v>0</v>
      </c>
      <c r="N20" s="15" t="n">
        <f aca="false">MIN(B20+H20,N(Debts!D7))</f>
        <v>0</v>
      </c>
      <c r="O20" s="15" t="n">
        <f aca="false">MIN(C20+I20,N(Debts!D8))</f>
        <v>60</v>
      </c>
      <c r="P20" s="15" t="n">
        <f aca="false">MIN(D20+J20,N(Debts!D9))</f>
        <v>96</v>
      </c>
      <c r="Q20" s="15" t="n">
        <f aca="false">MIN(E20+K20,N(Debts!D10))</f>
        <v>0</v>
      </c>
      <c r="R20" s="15" t="n">
        <f aca="false">MIN(F20+L20,N(Debts!D11))</f>
        <v>0</v>
      </c>
      <c r="S20" s="15" t="n">
        <f aca="false">MIN(G20+M20,N(Debts!D12))</f>
        <v>0</v>
      </c>
      <c r="T20" s="15" t="n">
        <f aca="false">Debts!$B$14</f>
        <v>286</v>
      </c>
      <c r="U20" s="15" t="n">
        <f aca="false">MAX(0,T20-SUM(N20:S20))</f>
        <v>130</v>
      </c>
      <c r="V20" s="16" t="n">
        <f aca="false">_xlfn.MINIFS($B$3:$G$3,B20:G20,"&gt;0.005")</f>
        <v>2</v>
      </c>
      <c r="W20" s="15" t="n">
        <f aca="false">IF(B20&lt;=0.005,0,MIN(B20+H20,N20+IF(B$3=$V20,$U20,0)))</f>
        <v>0</v>
      </c>
      <c r="X20" s="15" t="n">
        <f aca="false">IF(C20&lt;=0.005,0,MIN(C20+I20,O20+IF(C$3=$V20,$U20,0)))</f>
        <v>190</v>
      </c>
      <c r="Y20" s="15" t="n">
        <f aca="false">IF(D20&lt;=0.005,0,MIN(D20+J20,P20+IF(D$3=$V20,$U20,0)))</f>
        <v>96</v>
      </c>
      <c r="Z20" s="15" t="n">
        <f aca="false">IF(E20&lt;=0.005,0,MIN(E20+K20,Q20+IF(E$3=$V20,$U20,0)))</f>
        <v>0</v>
      </c>
      <c r="AA20" s="15" t="n">
        <f aca="false">IF(F20&lt;=0.005,0,MIN(F20+L20,R20+IF(F$3=$V20,$U20,0)))</f>
        <v>0</v>
      </c>
      <c r="AB20" s="15" t="n">
        <f aca="false">IF(G20&lt;=0.005,0,MIN(G20+M20,S20+IF(G$3=$V20,$U20,0)))</f>
        <v>0</v>
      </c>
      <c r="AC20" s="15" t="n">
        <f aca="false">MAX(0,B20+H20-W20)</f>
        <v>0</v>
      </c>
      <c r="AD20" s="15" t="n">
        <f aca="false">MAX(0,C20+I20-X20)</f>
        <v>150.220012524253</v>
      </c>
      <c r="AE20" s="15" t="n">
        <f aca="false">MAX(0,D20+J20-Y20)</f>
        <v>2696.46926107633</v>
      </c>
      <c r="AF20" s="15" t="n">
        <f aca="false">MAX(0,E20+K20-Z20)</f>
        <v>0</v>
      </c>
      <c r="AG20" s="15" t="n">
        <f aca="false">MAX(0,F20+L20-AA20)</f>
        <v>0</v>
      </c>
      <c r="AH20" s="15" t="n">
        <f aca="false">MAX(0,G20+M20-AB20)</f>
        <v>0</v>
      </c>
      <c r="AI20" s="15" t="n">
        <f aca="false">SUM(H20:M20)</f>
        <v>61.4735048255804</v>
      </c>
      <c r="AJ20" s="15" t="n">
        <f aca="false">SUM(AC20:AH20)</f>
        <v>2846.68927360058</v>
      </c>
    </row>
    <row r="21" customFormat="false" ht="15" hidden="false" customHeight="false" outlineLevel="0" collapsed="false">
      <c r="A21" s="0" t="n">
        <v>17</v>
      </c>
      <c r="B21" s="15" t="n">
        <f aca="false">AC20</f>
        <v>0</v>
      </c>
      <c r="C21" s="15" t="n">
        <f aca="false">AD20</f>
        <v>150.220012524253</v>
      </c>
      <c r="D21" s="15" t="n">
        <f aca="false">AE20</f>
        <v>2696.46926107633</v>
      </c>
      <c r="E21" s="15" t="n">
        <f aca="false">AF20</f>
        <v>0</v>
      </c>
      <c r="F21" s="15" t="n">
        <f aca="false">AG20</f>
        <v>0</v>
      </c>
      <c r="G21" s="15" t="n">
        <f aca="false">AH20</f>
        <v>0</v>
      </c>
      <c r="H21" s="15" t="n">
        <f aca="false">B21*N(Debts!C7)/12</f>
        <v>0</v>
      </c>
      <c r="I21" s="15" t="n">
        <f aca="false">C21*N(Debts!C8)/12</f>
        <v>1.00146675016168</v>
      </c>
      <c r="J21" s="15" t="n">
        <f aca="false">D21*N(Debts!C9)/12</f>
        <v>58.4235006566538</v>
      </c>
      <c r="K21" s="15" t="n">
        <f aca="false">E21*N(Debts!C10)/12</f>
        <v>0</v>
      </c>
      <c r="L21" s="15" t="n">
        <f aca="false">F21*N(Debts!C11)/12</f>
        <v>0</v>
      </c>
      <c r="M21" s="15" t="n">
        <f aca="false">G21*N(Debts!C12)/12</f>
        <v>0</v>
      </c>
      <c r="N21" s="15" t="n">
        <f aca="false">MIN(B21+H21,N(Debts!D7))</f>
        <v>0</v>
      </c>
      <c r="O21" s="15" t="n">
        <f aca="false">MIN(C21+I21,N(Debts!D8))</f>
        <v>60</v>
      </c>
      <c r="P21" s="15" t="n">
        <f aca="false">MIN(D21+J21,N(Debts!D9))</f>
        <v>96</v>
      </c>
      <c r="Q21" s="15" t="n">
        <f aca="false">MIN(E21+K21,N(Debts!D10))</f>
        <v>0</v>
      </c>
      <c r="R21" s="15" t="n">
        <f aca="false">MIN(F21+L21,N(Debts!D11))</f>
        <v>0</v>
      </c>
      <c r="S21" s="15" t="n">
        <f aca="false">MIN(G21+M21,N(Debts!D12))</f>
        <v>0</v>
      </c>
      <c r="T21" s="15" t="n">
        <f aca="false">Debts!$B$14</f>
        <v>286</v>
      </c>
      <c r="U21" s="15" t="n">
        <f aca="false">MAX(0,T21-SUM(N21:S21))</f>
        <v>130</v>
      </c>
      <c r="V21" s="16" t="n">
        <f aca="false">_xlfn.MINIFS($B$3:$G$3,B21:G21,"&gt;0.005")</f>
        <v>2</v>
      </c>
      <c r="W21" s="15" t="n">
        <f aca="false">IF(B21&lt;=0.005,0,MIN(B21+H21,N21+IF(B$3=$V21,$U21,0)))</f>
        <v>0</v>
      </c>
      <c r="X21" s="15" t="n">
        <f aca="false">IF(C21&lt;=0.005,0,MIN(C21+I21,O21+IF(C$3=$V21,$U21,0)))</f>
        <v>151.221479274414</v>
      </c>
      <c r="Y21" s="15" t="n">
        <f aca="false">IF(D21&lt;=0.005,0,MIN(D21+J21,P21+IF(D$3=$V21,$U21,0)))</f>
        <v>96</v>
      </c>
      <c r="Z21" s="15" t="n">
        <f aca="false">IF(E21&lt;=0.005,0,MIN(E21+K21,Q21+IF(E$3=$V21,$U21,0)))</f>
        <v>0</v>
      </c>
      <c r="AA21" s="15" t="n">
        <f aca="false">IF(F21&lt;=0.005,0,MIN(F21+L21,R21+IF(F$3=$V21,$U21,0)))</f>
        <v>0</v>
      </c>
      <c r="AB21" s="15" t="n">
        <f aca="false">IF(G21&lt;=0.005,0,MIN(G21+M21,S21+IF(G$3=$V21,$U21,0)))</f>
        <v>0</v>
      </c>
      <c r="AC21" s="15" t="n">
        <f aca="false">MAX(0,B21+H21-W21)</f>
        <v>0</v>
      </c>
      <c r="AD21" s="15" t="n">
        <f aca="false">MAX(0,C21+I21-X21)</f>
        <v>0</v>
      </c>
      <c r="AE21" s="15" t="n">
        <f aca="false">MAX(0,D21+J21-Y21)</f>
        <v>2658.89276173298</v>
      </c>
      <c r="AF21" s="15" t="n">
        <f aca="false">MAX(0,E21+K21-Z21)</f>
        <v>0</v>
      </c>
      <c r="AG21" s="15" t="n">
        <f aca="false">MAX(0,F21+L21-AA21)</f>
        <v>0</v>
      </c>
      <c r="AH21" s="15" t="n">
        <f aca="false">MAX(0,G21+M21-AB21)</f>
        <v>0</v>
      </c>
      <c r="AI21" s="15" t="n">
        <f aca="false">SUM(H21:M21)</f>
        <v>59.4249674068155</v>
      </c>
      <c r="AJ21" s="15" t="n">
        <f aca="false">SUM(AC21:AH21)</f>
        <v>2658.89276173298</v>
      </c>
    </row>
    <row r="22" customFormat="false" ht="15" hidden="false" customHeight="false" outlineLevel="0" collapsed="false">
      <c r="A22" s="0" t="n">
        <v>18</v>
      </c>
      <c r="B22" s="15" t="n">
        <f aca="false">AC21</f>
        <v>0</v>
      </c>
      <c r="C22" s="15" t="n">
        <f aca="false">AD21</f>
        <v>0</v>
      </c>
      <c r="D22" s="15" t="n">
        <f aca="false">AE21</f>
        <v>2658.89276173298</v>
      </c>
      <c r="E22" s="15" t="n">
        <f aca="false">AF21</f>
        <v>0</v>
      </c>
      <c r="F22" s="15" t="n">
        <f aca="false">AG21</f>
        <v>0</v>
      </c>
      <c r="G22" s="15" t="n">
        <f aca="false">AH21</f>
        <v>0</v>
      </c>
      <c r="H22" s="15" t="n">
        <f aca="false">B22*N(Debts!C7)/12</f>
        <v>0</v>
      </c>
      <c r="I22" s="15" t="n">
        <f aca="false">C22*N(Debts!C8)/12</f>
        <v>0</v>
      </c>
      <c r="J22" s="15" t="n">
        <f aca="false">D22*N(Debts!C9)/12</f>
        <v>57.6093431708813</v>
      </c>
      <c r="K22" s="15" t="n">
        <f aca="false">E22*N(Debts!C10)/12</f>
        <v>0</v>
      </c>
      <c r="L22" s="15" t="n">
        <f aca="false">F22*N(Debts!C11)/12</f>
        <v>0</v>
      </c>
      <c r="M22" s="15" t="n">
        <f aca="false">G22*N(Debts!C12)/12</f>
        <v>0</v>
      </c>
      <c r="N22" s="15" t="n">
        <f aca="false">MIN(B22+H22,N(Debts!D7))</f>
        <v>0</v>
      </c>
      <c r="O22" s="15" t="n">
        <f aca="false">MIN(C22+I22,N(Debts!D8))</f>
        <v>0</v>
      </c>
      <c r="P22" s="15" t="n">
        <f aca="false">MIN(D22+J22,N(Debts!D9))</f>
        <v>96</v>
      </c>
      <c r="Q22" s="15" t="n">
        <f aca="false">MIN(E22+K22,N(Debts!D10))</f>
        <v>0</v>
      </c>
      <c r="R22" s="15" t="n">
        <f aca="false">MIN(F22+L22,N(Debts!D11))</f>
        <v>0</v>
      </c>
      <c r="S22" s="15" t="n">
        <f aca="false">MIN(G22+M22,N(Debts!D12))</f>
        <v>0</v>
      </c>
      <c r="T22" s="15" t="n">
        <f aca="false">Debts!$B$14</f>
        <v>286</v>
      </c>
      <c r="U22" s="15" t="n">
        <f aca="false">MAX(0,T22-SUM(N22:S22))</f>
        <v>190</v>
      </c>
      <c r="V22" s="16" t="n">
        <f aca="false">_xlfn.MINIFS($B$3:$G$3,B22:G22,"&gt;0.005")</f>
        <v>3</v>
      </c>
      <c r="W22" s="15" t="n">
        <f aca="false">IF(B22&lt;=0.005,0,MIN(B22+H22,N22+IF(B$3=$V22,$U22,0)))</f>
        <v>0</v>
      </c>
      <c r="X22" s="15" t="n">
        <f aca="false">IF(C22&lt;=0.005,0,MIN(C22+I22,O22+IF(C$3=$V22,$U22,0)))</f>
        <v>0</v>
      </c>
      <c r="Y22" s="15" t="n">
        <f aca="false">IF(D22&lt;=0.005,0,MIN(D22+J22,P22+IF(D$3=$V22,$U22,0)))</f>
        <v>286</v>
      </c>
      <c r="Z22" s="15" t="n">
        <f aca="false">IF(E22&lt;=0.005,0,MIN(E22+K22,Q22+IF(E$3=$V22,$U22,0)))</f>
        <v>0</v>
      </c>
      <c r="AA22" s="15" t="n">
        <f aca="false">IF(F22&lt;=0.005,0,MIN(F22+L22,R22+IF(F$3=$V22,$U22,0)))</f>
        <v>0</v>
      </c>
      <c r="AB22" s="15" t="n">
        <f aca="false">IF(G22&lt;=0.005,0,MIN(G22+M22,S22+IF(G$3=$V22,$U22,0)))</f>
        <v>0</v>
      </c>
      <c r="AC22" s="15" t="n">
        <f aca="false">MAX(0,B22+H22-W22)</f>
        <v>0</v>
      </c>
      <c r="AD22" s="15" t="n">
        <f aca="false">MAX(0,C22+I22-X22)</f>
        <v>0</v>
      </c>
      <c r="AE22" s="15" t="n">
        <f aca="false">MAX(0,D22+J22-Y22)</f>
        <v>2430.50210490386</v>
      </c>
      <c r="AF22" s="15" t="n">
        <f aca="false">MAX(0,E22+K22-Z22)</f>
        <v>0</v>
      </c>
      <c r="AG22" s="15" t="n">
        <f aca="false">MAX(0,F22+L22-AA22)</f>
        <v>0</v>
      </c>
      <c r="AH22" s="15" t="n">
        <f aca="false">MAX(0,G22+M22-AB22)</f>
        <v>0</v>
      </c>
      <c r="AI22" s="15" t="n">
        <f aca="false">SUM(H22:M22)</f>
        <v>57.6093431708813</v>
      </c>
      <c r="AJ22" s="15" t="n">
        <f aca="false">SUM(AC22:AH22)</f>
        <v>2430.50210490386</v>
      </c>
    </row>
    <row r="23" customFormat="false" ht="15" hidden="false" customHeight="false" outlineLevel="0" collapsed="false">
      <c r="A23" s="0" t="n">
        <v>19</v>
      </c>
      <c r="B23" s="15" t="n">
        <f aca="false">AC22</f>
        <v>0</v>
      </c>
      <c r="C23" s="15" t="n">
        <f aca="false">AD22</f>
        <v>0</v>
      </c>
      <c r="D23" s="15" t="n">
        <f aca="false">AE22</f>
        <v>2430.50210490386</v>
      </c>
      <c r="E23" s="15" t="n">
        <f aca="false">AF22</f>
        <v>0</v>
      </c>
      <c r="F23" s="15" t="n">
        <f aca="false">AG22</f>
        <v>0</v>
      </c>
      <c r="G23" s="15" t="n">
        <f aca="false">AH22</f>
        <v>0</v>
      </c>
      <c r="H23" s="15" t="n">
        <f aca="false">B23*N(Debts!C7)/12</f>
        <v>0</v>
      </c>
      <c r="I23" s="15" t="n">
        <f aca="false">C23*N(Debts!C8)/12</f>
        <v>0</v>
      </c>
      <c r="J23" s="15" t="n">
        <f aca="false">D23*N(Debts!C9)/12</f>
        <v>52.6608789395837</v>
      </c>
      <c r="K23" s="15" t="n">
        <f aca="false">E23*N(Debts!C10)/12</f>
        <v>0</v>
      </c>
      <c r="L23" s="15" t="n">
        <f aca="false">F23*N(Debts!C11)/12</f>
        <v>0</v>
      </c>
      <c r="M23" s="15" t="n">
        <f aca="false">G23*N(Debts!C12)/12</f>
        <v>0</v>
      </c>
      <c r="N23" s="15" t="n">
        <f aca="false">MIN(B23+H23,N(Debts!D7))</f>
        <v>0</v>
      </c>
      <c r="O23" s="15" t="n">
        <f aca="false">MIN(C23+I23,N(Debts!D8))</f>
        <v>0</v>
      </c>
      <c r="P23" s="15" t="n">
        <f aca="false">MIN(D23+J23,N(Debts!D9))</f>
        <v>96</v>
      </c>
      <c r="Q23" s="15" t="n">
        <f aca="false">MIN(E23+K23,N(Debts!D10))</f>
        <v>0</v>
      </c>
      <c r="R23" s="15" t="n">
        <f aca="false">MIN(F23+L23,N(Debts!D11))</f>
        <v>0</v>
      </c>
      <c r="S23" s="15" t="n">
        <f aca="false">MIN(G23+M23,N(Debts!D12))</f>
        <v>0</v>
      </c>
      <c r="T23" s="15" t="n">
        <f aca="false">Debts!$B$14</f>
        <v>286</v>
      </c>
      <c r="U23" s="15" t="n">
        <f aca="false">MAX(0,T23-SUM(N23:S23))</f>
        <v>190</v>
      </c>
      <c r="V23" s="16" t="n">
        <f aca="false">_xlfn.MINIFS($B$3:$G$3,B23:G23,"&gt;0.005")</f>
        <v>3</v>
      </c>
      <c r="W23" s="15" t="n">
        <f aca="false">IF(B23&lt;=0.005,0,MIN(B23+H23,N23+IF(B$3=$V23,$U23,0)))</f>
        <v>0</v>
      </c>
      <c r="X23" s="15" t="n">
        <f aca="false">IF(C23&lt;=0.005,0,MIN(C23+I23,O23+IF(C$3=$V23,$U23,0)))</f>
        <v>0</v>
      </c>
      <c r="Y23" s="15" t="n">
        <f aca="false">IF(D23&lt;=0.005,0,MIN(D23+J23,P23+IF(D$3=$V23,$U23,0)))</f>
        <v>286</v>
      </c>
      <c r="Z23" s="15" t="n">
        <f aca="false">IF(E23&lt;=0.005,0,MIN(E23+K23,Q23+IF(E$3=$V23,$U23,0)))</f>
        <v>0</v>
      </c>
      <c r="AA23" s="15" t="n">
        <f aca="false">IF(F23&lt;=0.005,0,MIN(F23+L23,R23+IF(F$3=$V23,$U23,0)))</f>
        <v>0</v>
      </c>
      <c r="AB23" s="15" t="n">
        <f aca="false">IF(G23&lt;=0.005,0,MIN(G23+M23,S23+IF(G$3=$V23,$U23,0)))</f>
        <v>0</v>
      </c>
      <c r="AC23" s="15" t="n">
        <f aca="false">MAX(0,B23+H23-W23)</f>
        <v>0</v>
      </c>
      <c r="AD23" s="15" t="n">
        <f aca="false">MAX(0,C23+I23-X23)</f>
        <v>0</v>
      </c>
      <c r="AE23" s="15" t="n">
        <f aca="false">MAX(0,D23+J23-Y23)</f>
        <v>2197.16298384345</v>
      </c>
      <c r="AF23" s="15" t="n">
        <f aca="false">MAX(0,E23+K23-Z23)</f>
        <v>0</v>
      </c>
      <c r="AG23" s="15" t="n">
        <f aca="false">MAX(0,F23+L23-AA23)</f>
        <v>0</v>
      </c>
      <c r="AH23" s="15" t="n">
        <f aca="false">MAX(0,G23+M23-AB23)</f>
        <v>0</v>
      </c>
      <c r="AI23" s="15" t="n">
        <f aca="false">SUM(H23:M23)</f>
        <v>52.6608789395837</v>
      </c>
      <c r="AJ23" s="15" t="n">
        <f aca="false">SUM(AC23:AH23)</f>
        <v>2197.16298384345</v>
      </c>
    </row>
    <row r="24" customFormat="false" ht="15" hidden="false" customHeight="false" outlineLevel="0" collapsed="false">
      <c r="A24" s="0" t="n">
        <v>20</v>
      </c>
      <c r="B24" s="15" t="n">
        <f aca="false">AC23</f>
        <v>0</v>
      </c>
      <c r="C24" s="15" t="n">
        <f aca="false">AD23</f>
        <v>0</v>
      </c>
      <c r="D24" s="15" t="n">
        <f aca="false">AE23</f>
        <v>2197.16298384345</v>
      </c>
      <c r="E24" s="15" t="n">
        <f aca="false">AF23</f>
        <v>0</v>
      </c>
      <c r="F24" s="15" t="n">
        <f aca="false">AG23</f>
        <v>0</v>
      </c>
      <c r="G24" s="15" t="n">
        <f aca="false">AH23</f>
        <v>0</v>
      </c>
      <c r="H24" s="15" t="n">
        <f aca="false">B24*N(Debts!C7)/12</f>
        <v>0</v>
      </c>
      <c r="I24" s="15" t="n">
        <f aca="false">C24*N(Debts!C8)/12</f>
        <v>0</v>
      </c>
      <c r="J24" s="15" t="n">
        <f aca="false">D24*N(Debts!C9)/12</f>
        <v>47.6051979832747</v>
      </c>
      <c r="K24" s="15" t="n">
        <f aca="false">E24*N(Debts!C10)/12</f>
        <v>0</v>
      </c>
      <c r="L24" s="15" t="n">
        <f aca="false">F24*N(Debts!C11)/12</f>
        <v>0</v>
      </c>
      <c r="M24" s="15" t="n">
        <f aca="false">G24*N(Debts!C12)/12</f>
        <v>0</v>
      </c>
      <c r="N24" s="15" t="n">
        <f aca="false">MIN(B24+H24,N(Debts!D7))</f>
        <v>0</v>
      </c>
      <c r="O24" s="15" t="n">
        <f aca="false">MIN(C24+I24,N(Debts!D8))</f>
        <v>0</v>
      </c>
      <c r="P24" s="15" t="n">
        <f aca="false">MIN(D24+J24,N(Debts!D9))</f>
        <v>96</v>
      </c>
      <c r="Q24" s="15" t="n">
        <f aca="false">MIN(E24+K24,N(Debts!D10))</f>
        <v>0</v>
      </c>
      <c r="R24" s="15" t="n">
        <f aca="false">MIN(F24+L24,N(Debts!D11))</f>
        <v>0</v>
      </c>
      <c r="S24" s="15" t="n">
        <f aca="false">MIN(G24+M24,N(Debts!D12))</f>
        <v>0</v>
      </c>
      <c r="T24" s="15" t="n">
        <f aca="false">Debts!$B$14</f>
        <v>286</v>
      </c>
      <c r="U24" s="15" t="n">
        <f aca="false">MAX(0,T24-SUM(N24:S24))</f>
        <v>190</v>
      </c>
      <c r="V24" s="16" t="n">
        <f aca="false">_xlfn.MINIFS($B$3:$G$3,B24:G24,"&gt;0.005")</f>
        <v>3</v>
      </c>
      <c r="W24" s="15" t="n">
        <f aca="false">IF(B24&lt;=0.005,0,MIN(B24+H24,N24+IF(B$3=$V24,$U24,0)))</f>
        <v>0</v>
      </c>
      <c r="X24" s="15" t="n">
        <f aca="false">IF(C24&lt;=0.005,0,MIN(C24+I24,O24+IF(C$3=$V24,$U24,0)))</f>
        <v>0</v>
      </c>
      <c r="Y24" s="15" t="n">
        <f aca="false">IF(D24&lt;=0.005,0,MIN(D24+J24,P24+IF(D$3=$V24,$U24,0)))</f>
        <v>286</v>
      </c>
      <c r="Z24" s="15" t="n">
        <f aca="false">IF(E24&lt;=0.005,0,MIN(E24+K24,Q24+IF(E$3=$V24,$U24,0)))</f>
        <v>0</v>
      </c>
      <c r="AA24" s="15" t="n">
        <f aca="false">IF(F24&lt;=0.005,0,MIN(F24+L24,R24+IF(F$3=$V24,$U24,0)))</f>
        <v>0</v>
      </c>
      <c r="AB24" s="15" t="n">
        <f aca="false">IF(G24&lt;=0.005,0,MIN(G24+M24,S24+IF(G$3=$V24,$U24,0)))</f>
        <v>0</v>
      </c>
      <c r="AC24" s="15" t="n">
        <f aca="false">MAX(0,B24+H24-W24)</f>
        <v>0</v>
      </c>
      <c r="AD24" s="15" t="n">
        <f aca="false">MAX(0,C24+I24-X24)</f>
        <v>0</v>
      </c>
      <c r="AE24" s="15" t="n">
        <f aca="false">MAX(0,D24+J24-Y24)</f>
        <v>1958.76818182672</v>
      </c>
      <c r="AF24" s="15" t="n">
        <f aca="false">MAX(0,E24+K24-Z24)</f>
        <v>0</v>
      </c>
      <c r="AG24" s="15" t="n">
        <f aca="false">MAX(0,F24+L24-AA24)</f>
        <v>0</v>
      </c>
      <c r="AH24" s="15" t="n">
        <f aca="false">MAX(0,G24+M24-AB24)</f>
        <v>0</v>
      </c>
      <c r="AI24" s="15" t="n">
        <f aca="false">SUM(H24:M24)</f>
        <v>47.6051979832747</v>
      </c>
      <c r="AJ24" s="15" t="n">
        <f aca="false">SUM(AC24:AH24)</f>
        <v>1958.76818182672</v>
      </c>
    </row>
    <row r="25" customFormat="false" ht="15" hidden="false" customHeight="false" outlineLevel="0" collapsed="false">
      <c r="A25" s="0" t="n">
        <v>21</v>
      </c>
      <c r="B25" s="15" t="n">
        <f aca="false">AC24</f>
        <v>0</v>
      </c>
      <c r="C25" s="15" t="n">
        <f aca="false">AD24</f>
        <v>0</v>
      </c>
      <c r="D25" s="15" t="n">
        <f aca="false">AE24</f>
        <v>1958.76818182672</v>
      </c>
      <c r="E25" s="15" t="n">
        <f aca="false">AF24</f>
        <v>0</v>
      </c>
      <c r="F25" s="15" t="n">
        <f aca="false">AG24</f>
        <v>0</v>
      </c>
      <c r="G25" s="15" t="n">
        <f aca="false">AH24</f>
        <v>0</v>
      </c>
      <c r="H25" s="15" t="n">
        <f aca="false">B25*N(Debts!C7)/12</f>
        <v>0</v>
      </c>
      <c r="I25" s="15" t="n">
        <f aca="false">C25*N(Debts!C8)/12</f>
        <v>0</v>
      </c>
      <c r="J25" s="15" t="n">
        <f aca="false">D25*N(Debts!C9)/12</f>
        <v>42.4399772729123</v>
      </c>
      <c r="K25" s="15" t="n">
        <f aca="false">E25*N(Debts!C10)/12</f>
        <v>0</v>
      </c>
      <c r="L25" s="15" t="n">
        <f aca="false">F25*N(Debts!C11)/12</f>
        <v>0</v>
      </c>
      <c r="M25" s="15" t="n">
        <f aca="false">G25*N(Debts!C12)/12</f>
        <v>0</v>
      </c>
      <c r="N25" s="15" t="n">
        <f aca="false">MIN(B25+H25,N(Debts!D7))</f>
        <v>0</v>
      </c>
      <c r="O25" s="15" t="n">
        <f aca="false">MIN(C25+I25,N(Debts!D8))</f>
        <v>0</v>
      </c>
      <c r="P25" s="15" t="n">
        <f aca="false">MIN(D25+J25,N(Debts!D9))</f>
        <v>96</v>
      </c>
      <c r="Q25" s="15" t="n">
        <f aca="false">MIN(E25+K25,N(Debts!D10))</f>
        <v>0</v>
      </c>
      <c r="R25" s="15" t="n">
        <f aca="false">MIN(F25+L25,N(Debts!D11))</f>
        <v>0</v>
      </c>
      <c r="S25" s="15" t="n">
        <f aca="false">MIN(G25+M25,N(Debts!D12))</f>
        <v>0</v>
      </c>
      <c r="T25" s="15" t="n">
        <f aca="false">Debts!$B$14</f>
        <v>286</v>
      </c>
      <c r="U25" s="15" t="n">
        <f aca="false">MAX(0,T25-SUM(N25:S25))</f>
        <v>190</v>
      </c>
      <c r="V25" s="16" t="n">
        <f aca="false">_xlfn.MINIFS($B$3:$G$3,B25:G25,"&gt;0.005")</f>
        <v>3</v>
      </c>
      <c r="W25" s="15" t="n">
        <f aca="false">IF(B25&lt;=0.005,0,MIN(B25+H25,N25+IF(B$3=$V25,$U25,0)))</f>
        <v>0</v>
      </c>
      <c r="X25" s="15" t="n">
        <f aca="false">IF(C25&lt;=0.005,0,MIN(C25+I25,O25+IF(C$3=$V25,$U25,0)))</f>
        <v>0</v>
      </c>
      <c r="Y25" s="15" t="n">
        <f aca="false">IF(D25&lt;=0.005,0,MIN(D25+J25,P25+IF(D$3=$V25,$U25,0)))</f>
        <v>286</v>
      </c>
      <c r="Z25" s="15" t="n">
        <f aca="false">IF(E25&lt;=0.005,0,MIN(E25+K25,Q25+IF(E$3=$V25,$U25,0)))</f>
        <v>0</v>
      </c>
      <c r="AA25" s="15" t="n">
        <f aca="false">IF(F25&lt;=0.005,0,MIN(F25+L25,R25+IF(F$3=$V25,$U25,0)))</f>
        <v>0</v>
      </c>
      <c r="AB25" s="15" t="n">
        <f aca="false">IF(G25&lt;=0.005,0,MIN(G25+M25,S25+IF(G$3=$V25,$U25,0)))</f>
        <v>0</v>
      </c>
      <c r="AC25" s="15" t="n">
        <f aca="false">MAX(0,B25+H25-W25)</f>
        <v>0</v>
      </c>
      <c r="AD25" s="15" t="n">
        <f aca="false">MAX(0,C25+I25-X25)</f>
        <v>0</v>
      </c>
      <c r="AE25" s="15" t="n">
        <f aca="false">MAX(0,D25+J25-Y25)</f>
        <v>1715.20815909963</v>
      </c>
      <c r="AF25" s="15" t="n">
        <f aca="false">MAX(0,E25+K25-Z25)</f>
        <v>0</v>
      </c>
      <c r="AG25" s="15" t="n">
        <f aca="false">MAX(0,F25+L25-AA25)</f>
        <v>0</v>
      </c>
      <c r="AH25" s="15" t="n">
        <f aca="false">MAX(0,G25+M25-AB25)</f>
        <v>0</v>
      </c>
      <c r="AI25" s="15" t="n">
        <f aca="false">SUM(H25:M25)</f>
        <v>42.4399772729123</v>
      </c>
      <c r="AJ25" s="15" t="n">
        <f aca="false">SUM(AC25:AH25)</f>
        <v>1715.20815909963</v>
      </c>
    </row>
    <row r="26" customFormat="false" ht="15" hidden="false" customHeight="false" outlineLevel="0" collapsed="false">
      <c r="A26" s="0" t="n">
        <v>22</v>
      </c>
      <c r="B26" s="15" t="n">
        <f aca="false">AC25</f>
        <v>0</v>
      </c>
      <c r="C26" s="15" t="n">
        <f aca="false">AD25</f>
        <v>0</v>
      </c>
      <c r="D26" s="15" t="n">
        <f aca="false">AE25</f>
        <v>1715.20815909963</v>
      </c>
      <c r="E26" s="15" t="n">
        <f aca="false">AF25</f>
        <v>0</v>
      </c>
      <c r="F26" s="15" t="n">
        <f aca="false">AG25</f>
        <v>0</v>
      </c>
      <c r="G26" s="15" t="n">
        <f aca="false">AH25</f>
        <v>0</v>
      </c>
      <c r="H26" s="15" t="n">
        <f aca="false">B26*N(Debts!C7)/12</f>
        <v>0</v>
      </c>
      <c r="I26" s="15" t="n">
        <f aca="false">C26*N(Debts!C8)/12</f>
        <v>0</v>
      </c>
      <c r="J26" s="15" t="n">
        <f aca="false">D26*N(Debts!C9)/12</f>
        <v>37.1628434471587</v>
      </c>
      <c r="K26" s="15" t="n">
        <f aca="false">E26*N(Debts!C10)/12</f>
        <v>0</v>
      </c>
      <c r="L26" s="15" t="n">
        <f aca="false">F26*N(Debts!C11)/12</f>
        <v>0</v>
      </c>
      <c r="M26" s="15" t="n">
        <f aca="false">G26*N(Debts!C12)/12</f>
        <v>0</v>
      </c>
      <c r="N26" s="15" t="n">
        <f aca="false">MIN(B26+H26,N(Debts!D7))</f>
        <v>0</v>
      </c>
      <c r="O26" s="15" t="n">
        <f aca="false">MIN(C26+I26,N(Debts!D8))</f>
        <v>0</v>
      </c>
      <c r="P26" s="15" t="n">
        <f aca="false">MIN(D26+J26,N(Debts!D9))</f>
        <v>96</v>
      </c>
      <c r="Q26" s="15" t="n">
        <f aca="false">MIN(E26+K26,N(Debts!D10))</f>
        <v>0</v>
      </c>
      <c r="R26" s="15" t="n">
        <f aca="false">MIN(F26+L26,N(Debts!D11))</f>
        <v>0</v>
      </c>
      <c r="S26" s="15" t="n">
        <f aca="false">MIN(G26+M26,N(Debts!D12))</f>
        <v>0</v>
      </c>
      <c r="T26" s="15" t="n">
        <f aca="false">Debts!$B$14</f>
        <v>286</v>
      </c>
      <c r="U26" s="15" t="n">
        <f aca="false">MAX(0,T26-SUM(N26:S26))</f>
        <v>190</v>
      </c>
      <c r="V26" s="16" t="n">
        <f aca="false">_xlfn.MINIFS($B$3:$G$3,B26:G26,"&gt;0.005")</f>
        <v>3</v>
      </c>
      <c r="W26" s="15" t="n">
        <f aca="false">IF(B26&lt;=0.005,0,MIN(B26+H26,N26+IF(B$3=$V26,$U26,0)))</f>
        <v>0</v>
      </c>
      <c r="X26" s="15" t="n">
        <f aca="false">IF(C26&lt;=0.005,0,MIN(C26+I26,O26+IF(C$3=$V26,$U26,0)))</f>
        <v>0</v>
      </c>
      <c r="Y26" s="15" t="n">
        <f aca="false">IF(D26&lt;=0.005,0,MIN(D26+J26,P26+IF(D$3=$V26,$U26,0)))</f>
        <v>286</v>
      </c>
      <c r="Z26" s="15" t="n">
        <f aca="false">IF(E26&lt;=0.005,0,MIN(E26+K26,Q26+IF(E$3=$V26,$U26,0)))</f>
        <v>0</v>
      </c>
      <c r="AA26" s="15" t="n">
        <f aca="false">IF(F26&lt;=0.005,0,MIN(F26+L26,R26+IF(F$3=$V26,$U26,0)))</f>
        <v>0</v>
      </c>
      <c r="AB26" s="15" t="n">
        <f aca="false">IF(G26&lt;=0.005,0,MIN(G26+M26,S26+IF(G$3=$V26,$U26,0)))</f>
        <v>0</v>
      </c>
      <c r="AC26" s="15" t="n">
        <f aca="false">MAX(0,B26+H26-W26)</f>
        <v>0</v>
      </c>
      <c r="AD26" s="15" t="n">
        <f aca="false">MAX(0,C26+I26-X26)</f>
        <v>0</v>
      </c>
      <c r="AE26" s="15" t="n">
        <f aca="false">MAX(0,D26+J26-Y26)</f>
        <v>1466.37100254679</v>
      </c>
      <c r="AF26" s="15" t="n">
        <f aca="false">MAX(0,E26+K26-Z26)</f>
        <v>0</v>
      </c>
      <c r="AG26" s="15" t="n">
        <f aca="false">MAX(0,F26+L26-AA26)</f>
        <v>0</v>
      </c>
      <c r="AH26" s="15" t="n">
        <f aca="false">MAX(0,G26+M26-AB26)</f>
        <v>0</v>
      </c>
      <c r="AI26" s="15" t="n">
        <f aca="false">SUM(H26:M26)</f>
        <v>37.1628434471587</v>
      </c>
      <c r="AJ26" s="15" t="n">
        <f aca="false">SUM(AC26:AH26)</f>
        <v>1466.37100254679</v>
      </c>
    </row>
    <row r="27" customFormat="false" ht="15" hidden="false" customHeight="false" outlineLevel="0" collapsed="false">
      <c r="A27" s="0" t="n">
        <v>23</v>
      </c>
      <c r="B27" s="15" t="n">
        <f aca="false">AC26</f>
        <v>0</v>
      </c>
      <c r="C27" s="15" t="n">
        <f aca="false">AD26</f>
        <v>0</v>
      </c>
      <c r="D27" s="15" t="n">
        <f aca="false">AE26</f>
        <v>1466.37100254679</v>
      </c>
      <c r="E27" s="15" t="n">
        <f aca="false">AF26</f>
        <v>0</v>
      </c>
      <c r="F27" s="15" t="n">
        <f aca="false">AG26</f>
        <v>0</v>
      </c>
      <c r="G27" s="15" t="n">
        <f aca="false">AH26</f>
        <v>0</v>
      </c>
      <c r="H27" s="15" t="n">
        <f aca="false">B27*N(Debts!C7)/12</f>
        <v>0</v>
      </c>
      <c r="I27" s="15" t="n">
        <f aca="false">C27*N(Debts!C8)/12</f>
        <v>0</v>
      </c>
      <c r="J27" s="15" t="n">
        <f aca="false">D27*N(Debts!C9)/12</f>
        <v>31.7713717218472</v>
      </c>
      <c r="K27" s="15" t="n">
        <f aca="false">E27*N(Debts!C10)/12</f>
        <v>0</v>
      </c>
      <c r="L27" s="15" t="n">
        <f aca="false">F27*N(Debts!C11)/12</f>
        <v>0</v>
      </c>
      <c r="M27" s="15" t="n">
        <f aca="false">G27*N(Debts!C12)/12</f>
        <v>0</v>
      </c>
      <c r="N27" s="15" t="n">
        <f aca="false">MIN(B27+H27,N(Debts!D7))</f>
        <v>0</v>
      </c>
      <c r="O27" s="15" t="n">
        <f aca="false">MIN(C27+I27,N(Debts!D8))</f>
        <v>0</v>
      </c>
      <c r="P27" s="15" t="n">
        <f aca="false">MIN(D27+J27,N(Debts!D9))</f>
        <v>96</v>
      </c>
      <c r="Q27" s="15" t="n">
        <f aca="false">MIN(E27+K27,N(Debts!D10))</f>
        <v>0</v>
      </c>
      <c r="R27" s="15" t="n">
        <f aca="false">MIN(F27+L27,N(Debts!D11))</f>
        <v>0</v>
      </c>
      <c r="S27" s="15" t="n">
        <f aca="false">MIN(G27+M27,N(Debts!D12))</f>
        <v>0</v>
      </c>
      <c r="T27" s="15" t="n">
        <f aca="false">Debts!$B$14</f>
        <v>286</v>
      </c>
      <c r="U27" s="15" t="n">
        <f aca="false">MAX(0,T27-SUM(N27:S27))</f>
        <v>190</v>
      </c>
      <c r="V27" s="16" t="n">
        <f aca="false">_xlfn.MINIFS($B$3:$G$3,B27:G27,"&gt;0.005")</f>
        <v>3</v>
      </c>
      <c r="W27" s="15" t="n">
        <f aca="false">IF(B27&lt;=0.005,0,MIN(B27+H27,N27+IF(B$3=$V27,$U27,0)))</f>
        <v>0</v>
      </c>
      <c r="X27" s="15" t="n">
        <f aca="false">IF(C27&lt;=0.005,0,MIN(C27+I27,O27+IF(C$3=$V27,$U27,0)))</f>
        <v>0</v>
      </c>
      <c r="Y27" s="15" t="n">
        <f aca="false">IF(D27&lt;=0.005,0,MIN(D27+J27,P27+IF(D$3=$V27,$U27,0)))</f>
        <v>286</v>
      </c>
      <c r="Z27" s="15" t="n">
        <f aca="false">IF(E27&lt;=0.005,0,MIN(E27+K27,Q27+IF(E$3=$V27,$U27,0)))</f>
        <v>0</v>
      </c>
      <c r="AA27" s="15" t="n">
        <f aca="false">IF(F27&lt;=0.005,0,MIN(F27+L27,R27+IF(F$3=$V27,$U27,0)))</f>
        <v>0</v>
      </c>
      <c r="AB27" s="15" t="n">
        <f aca="false">IF(G27&lt;=0.005,0,MIN(G27+M27,S27+IF(G$3=$V27,$U27,0)))</f>
        <v>0</v>
      </c>
      <c r="AC27" s="15" t="n">
        <f aca="false">MAX(0,B27+H27-W27)</f>
        <v>0</v>
      </c>
      <c r="AD27" s="15" t="n">
        <f aca="false">MAX(0,C27+I27-X27)</f>
        <v>0</v>
      </c>
      <c r="AE27" s="15" t="n">
        <f aca="false">MAX(0,D27+J27-Y27)</f>
        <v>1212.14237426864</v>
      </c>
      <c r="AF27" s="15" t="n">
        <f aca="false">MAX(0,E27+K27-Z27)</f>
        <v>0</v>
      </c>
      <c r="AG27" s="15" t="n">
        <f aca="false">MAX(0,F27+L27-AA27)</f>
        <v>0</v>
      </c>
      <c r="AH27" s="15" t="n">
        <f aca="false">MAX(0,G27+M27-AB27)</f>
        <v>0</v>
      </c>
      <c r="AI27" s="15" t="n">
        <f aca="false">SUM(H27:M27)</f>
        <v>31.7713717218472</v>
      </c>
      <c r="AJ27" s="15" t="n">
        <f aca="false">SUM(AC27:AH27)</f>
        <v>1212.14237426864</v>
      </c>
    </row>
    <row r="28" customFormat="false" ht="15" hidden="false" customHeight="false" outlineLevel="0" collapsed="false">
      <c r="A28" s="0" t="n">
        <v>24</v>
      </c>
      <c r="B28" s="15" t="n">
        <f aca="false">AC27</f>
        <v>0</v>
      </c>
      <c r="C28" s="15" t="n">
        <f aca="false">AD27</f>
        <v>0</v>
      </c>
      <c r="D28" s="15" t="n">
        <f aca="false">AE27</f>
        <v>1212.14237426864</v>
      </c>
      <c r="E28" s="15" t="n">
        <f aca="false">AF27</f>
        <v>0</v>
      </c>
      <c r="F28" s="15" t="n">
        <f aca="false">AG27</f>
        <v>0</v>
      </c>
      <c r="G28" s="15" t="n">
        <f aca="false">AH27</f>
        <v>0</v>
      </c>
      <c r="H28" s="15" t="n">
        <f aca="false">B28*N(Debts!C7)/12</f>
        <v>0</v>
      </c>
      <c r="I28" s="15" t="n">
        <f aca="false">C28*N(Debts!C8)/12</f>
        <v>0</v>
      </c>
      <c r="J28" s="15" t="n">
        <f aca="false">D28*N(Debts!C9)/12</f>
        <v>26.2630847758205</v>
      </c>
      <c r="K28" s="15" t="n">
        <f aca="false">E28*N(Debts!C10)/12</f>
        <v>0</v>
      </c>
      <c r="L28" s="15" t="n">
        <f aca="false">F28*N(Debts!C11)/12</f>
        <v>0</v>
      </c>
      <c r="M28" s="15" t="n">
        <f aca="false">G28*N(Debts!C12)/12</f>
        <v>0</v>
      </c>
      <c r="N28" s="15" t="n">
        <f aca="false">MIN(B28+H28,N(Debts!D7))</f>
        <v>0</v>
      </c>
      <c r="O28" s="15" t="n">
        <f aca="false">MIN(C28+I28,N(Debts!D8))</f>
        <v>0</v>
      </c>
      <c r="P28" s="15" t="n">
        <f aca="false">MIN(D28+J28,N(Debts!D9))</f>
        <v>96</v>
      </c>
      <c r="Q28" s="15" t="n">
        <f aca="false">MIN(E28+K28,N(Debts!D10))</f>
        <v>0</v>
      </c>
      <c r="R28" s="15" t="n">
        <f aca="false">MIN(F28+L28,N(Debts!D11))</f>
        <v>0</v>
      </c>
      <c r="S28" s="15" t="n">
        <f aca="false">MIN(G28+M28,N(Debts!D12))</f>
        <v>0</v>
      </c>
      <c r="T28" s="15" t="n">
        <f aca="false">Debts!$B$14</f>
        <v>286</v>
      </c>
      <c r="U28" s="15" t="n">
        <f aca="false">MAX(0,T28-SUM(N28:S28))</f>
        <v>190</v>
      </c>
      <c r="V28" s="16" t="n">
        <f aca="false">_xlfn.MINIFS($B$3:$G$3,B28:G28,"&gt;0.005")</f>
        <v>3</v>
      </c>
      <c r="W28" s="15" t="n">
        <f aca="false">IF(B28&lt;=0.005,0,MIN(B28+H28,N28+IF(B$3=$V28,$U28,0)))</f>
        <v>0</v>
      </c>
      <c r="X28" s="15" t="n">
        <f aca="false">IF(C28&lt;=0.005,0,MIN(C28+I28,O28+IF(C$3=$V28,$U28,0)))</f>
        <v>0</v>
      </c>
      <c r="Y28" s="15" t="n">
        <f aca="false">IF(D28&lt;=0.005,0,MIN(D28+J28,P28+IF(D$3=$V28,$U28,0)))</f>
        <v>286</v>
      </c>
      <c r="Z28" s="15" t="n">
        <f aca="false">IF(E28&lt;=0.005,0,MIN(E28+K28,Q28+IF(E$3=$V28,$U28,0)))</f>
        <v>0</v>
      </c>
      <c r="AA28" s="15" t="n">
        <f aca="false">IF(F28&lt;=0.005,0,MIN(F28+L28,R28+IF(F$3=$V28,$U28,0)))</f>
        <v>0</v>
      </c>
      <c r="AB28" s="15" t="n">
        <f aca="false">IF(G28&lt;=0.005,0,MIN(G28+M28,S28+IF(G$3=$V28,$U28,0)))</f>
        <v>0</v>
      </c>
      <c r="AC28" s="15" t="n">
        <f aca="false">MAX(0,B28+H28-W28)</f>
        <v>0</v>
      </c>
      <c r="AD28" s="15" t="n">
        <f aca="false">MAX(0,C28+I28-X28)</f>
        <v>0</v>
      </c>
      <c r="AE28" s="15" t="n">
        <f aca="false">MAX(0,D28+J28-Y28)</f>
        <v>952.405459044461</v>
      </c>
      <c r="AF28" s="15" t="n">
        <f aca="false">MAX(0,E28+K28-Z28)</f>
        <v>0</v>
      </c>
      <c r="AG28" s="15" t="n">
        <f aca="false">MAX(0,F28+L28-AA28)</f>
        <v>0</v>
      </c>
      <c r="AH28" s="15" t="n">
        <f aca="false">MAX(0,G28+M28-AB28)</f>
        <v>0</v>
      </c>
      <c r="AI28" s="15" t="n">
        <f aca="false">SUM(H28:M28)</f>
        <v>26.2630847758205</v>
      </c>
      <c r="AJ28" s="15" t="n">
        <f aca="false">SUM(AC28:AH28)</f>
        <v>952.405459044461</v>
      </c>
    </row>
    <row r="29" customFormat="false" ht="15" hidden="false" customHeight="false" outlineLevel="0" collapsed="false">
      <c r="A29" s="0" t="n">
        <v>25</v>
      </c>
      <c r="B29" s="15" t="n">
        <f aca="false">AC28</f>
        <v>0</v>
      </c>
      <c r="C29" s="15" t="n">
        <f aca="false">AD28</f>
        <v>0</v>
      </c>
      <c r="D29" s="15" t="n">
        <f aca="false">AE28</f>
        <v>952.405459044461</v>
      </c>
      <c r="E29" s="15" t="n">
        <f aca="false">AF28</f>
        <v>0</v>
      </c>
      <c r="F29" s="15" t="n">
        <f aca="false">AG28</f>
        <v>0</v>
      </c>
      <c r="G29" s="15" t="n">
        <f aca="false">AH28</f>
        <v>0</v>
      </c>
      <c r="H29" s="15" t="n">
        <f aca="false">B29*N(Debts!C7)/12</f>
        <v>0</v>
      </c>
      <c r="I29" s="15" t="n">
        <f aca="false">C29*N(Debts!C8)/12</f>
        <v>0</v>
      </c>
      <c r="J29" s="15" t="n">
        <f aca="false">D29*N(Debts!C9)/12</f>
        <v>20.63545161263</v>
      </c>
      <c r="K29" s="15" t="n">
        <f aca="false">E29*N(Debts!C10)/12</f>
        <v>0</v>
      </c>
      <c r="L29" s="15" t="n">
        <f aca="false">F29*N(Debts!C11)/12</f>
        <v>0</v>
      </c>
      <c r="M29" s="15" t="n">
        <f aca="false">G29*N(Debts!C12)/12</f>
        <v>0</v>
      </c>
      <c r="N29" s="15" t="n">
        <f aca="false">MIN(B29+H29,N(Debts!D7))</f>
        <v>0</v>
      </c>
      <c r="O29" s="15" t="n">
        <f aca="false">MIN(C29+I29,N(Debts!D8))</f>
        <v>0</v>
      </c>
      <c r="P29" s="15" t="n">
        <f aca="false">MIN(D29+J29,N(Debts!D9))</f>
        <v>96</v>
      </c>
      <c r="Q29" s="15" t="n">
        <f aca="false">MIN(E29+K29,N(Debts!D10))</f>
        <v>0</v>
      </c>
      <c r="R29" s="15" t="n">
        <f aca="false">MIN(F29+L29,N(Debts!D11))</f>
        <v>0</v>
      </c>
      <c r="S29" s="15" t="n">
        <f aca="false">MIN(G29+M29,N(Debts!D12))</f>
        <v>0</v>
      </c>
      <c r="T29" s="15" t="n">
        <f aca="false">Debts!$B$14</f>
        <v>286</v>
      </c>
      <c r="U29" s="15" t="n">
        <f aca="false">MAX(0,T29-SUM(N29:S29))</f>
        <v>190</v>
      </c>
      <c r="V29" s="16" t="n">
        <f aca="false">_xlfn.MINIFS($B$3:$G$3,B29:G29,"&gt;0.005")</f>
        <v>3</v>
      </c>
      <c r="W29" s="15" t="n">
        <f aca="false">IF(B29&lt;=0.005,0,MIN(B29+H29,N29+IF(B$3=$V29,$U29,0)))</f>
        <v>0</v>
      </c>
      <c r="X29" s="15" t="n">
        <f aca="false">IF(C29&lt;=0.005,0,MIN(C29+I29,O29+IF(C$3=$V29,$U29,0)))</f>
        <v>0</v>
      </c>
      <c r="Y29" s="15" t="n">
        <f aca="false">IF(D29&lt;=0.005,0,MIN(D29+J29,P29+IF(D$3=$V29,$U29,0)))</f>
        <v>286</v>
      </c>
      <c r="Z29" s="15" t="n">
        <f aca="false">IF(E29&lt;=0.005,0,MIN(E29+K29,Q29+IF(E$3=$V29,$U29,0)))</f>
        <v>0</v>
      </c>
      <c r="AA29" s="15" t="n">
        <f aca="false">IF(F29&lt;=0.005,0,MIN(F29+L29,R29+IF(F$3=$V29,$U29,0)))</f>
        <v>0</v>
      </c>
      <c r="AB29" s="15" t="n">
        <f aca="false">IF(G29&lt;=0.005,0,MIN(G29+M29,S29+IF(G$3=$V29,$U29,0)))</f>
        <v>0</v>
      </c>
      <c r="AC29" s="15" t="n">
        <f aca="false">MAX(0,B29+H29-W29)</f>
        <v>0</v>
      </c>
      <c r="AD29" s="15" t="n">
        <f aca="false">MAX(0,C29+I29-X29)</f>
        <v>0</v>
      </c>
      <c r="AE29" s="15" t="n">
        <f aca="false">MAX(0,D29+J29-Y29)</f>
        <v>687.040910657091</v>
      </c>
      <c r="AF29" s="15" t="n">
        <f aca="false">MAX(0,E29+K29-Z29)</f>
        <v>0</v>
      </c>
      <c r="AG29" s="15" t="n">
        <f aca="false">MAX(0,F29+L29-AA29)</f>
        <v>0</v>
      </c>
      <c r="AH29" s="15" t="n">
        <f aca="false">MAX(0,G29+M29-AB29)</f>
        <v>0</v>
      </c>
      <c r="AI29" s="15" t="n">
        <f aca="false">SUM(H29:M29)</f>
        <v>20.63545161263</v>
      </c>
      <c r="AJ29" s="15" t="n">
        <f aca="false">SUM(AC29:AH29)</f>
        <v>687.040910657091</v>
      </c>
    </row>
    <row r="30" customFormat="false" ht="15" hidden="false" customHeight="false" outlineLevel="0" collapsed="false">
      <c r="A30" s="0" t="n">
        <v>26</v>
      </c>
      <c r="B30" s="15" t="n">
        <f aca="false">AC29</f>
        <v>0</v>
      </c>
      <c r="C30" s="15" t="n">
        <f aca="false">AD29</f>
        <v>0</v>
      </c>
      <c r="D30" s="15" t="n">
        <f aca="false">AE29</f>
        <v>687.040910657091</v>
      </c>
      <c r="E30" s="15" t="n">
        <f aca="false">AF29</f>
        <v>0</v>
      </c>
      <c r="F30" s="15" t="n">
        <f aca="false">AG29</f>
        <v>0</v>
      </c>
      <c r="G30" s="15" t="n">
        <f aca="false">AH29</f>
        <v>0</v>
      </c>
      <c r="H30" s="15" t="n">
        <f aca="false">B30*N(Debts!C7)/12</f>
        <v>0</v>
      </c>
      <c r="I30" s="15" t="n">
        <f aca="false">C30*N(Debts!C8)/12</f>
        <v>0</v>
      </c>
      <c r="J30" s="15" t="n">
        <f aca="false">D30*N(Debts!C9)/12</f>
        <v>14.8858863975703</v>
      </c>
      <c r="K30" s="15" t="n">
        <f aca="false">E30*N(Debts!C10)/12</f>
        <v>0</v>
      </c>
      <c r="L30" s="15" t="n">
        <f aca="false">F30*N(Debts!C11)/12</f>
        <v>0</v>
      </c>
      <c r="M30" s="15" t="n">
        <f aca="false">G30*N(Debts!C12)/12</f>
        <v>0</v>
      </c>
      <c r="N30" s="15" t="n">
        <f aca="false">MIN(B30+H30,N(Debts!D7))</f>
        <v>0</v>
      </c>
      <c r="O30" s="15" t="n">
        <f aca="false">MIN(C30+I30,N(Debts!D8))</f>
        <v>0</v>
      </c>
      <c r="P30" s="15" t="n">
        <f aca="false">MIN(D30+J30,N(Debts!D9))</f>
        <v>96</v>
      </c>
      <c r="Q30" s="15" t="n">
        <f aca="false">MIN(E30+K30,N(Debts!D10))</f>
        <v>0</v>
      </c>
      <c r="R30" s="15" t="n">
        <f aca="false">MIN(F30+L30,N(Debts!D11))</f>
        <v>0</v>
      </c>
      <c r="S30" s="15" t="n">
        <f aca="false">MIN(G30+M30,N(Debts!D12))</f>
        <v>0</v>
      </c>
      <c r="T30" s="15" t="n">
        <f aca="false">Debts!$B$14</f>
        <v>286</v>
      </c>
      <c r="U30" s="15" t="n">
        <f aca="false">MAX(0,T30-SUM(N30:S30))</f>
        <v>190</v>
      </c>
      <c r="V30" s="16" t="n">
        <f aca="false">_xlfn.MINIFS($B$3:$G$3,B30:G30,"&gt;0.005")</f>
        <v>3</v>
      </c>
      <c r="W30" s="15" t="n">
        <f aca="false">IF(B30&lt;=0.005,0,MIN(B30+H30,N30+IF(B$3=$V30,$U30,0)))</f>
        <v>0</v>
      </c>
      <c r="X30" s="15" t="n">
        <f aca="false">IF(C30&lt;=0.005,0,MIN(C30+I30,O30+IF(C$3=$V30,$U30,0)))</f>
        <v>0</v>
      </c>
      <c r="Y30" s="15" t="n">
        <f aca="false">IF(D30&lt;=0.005,0,MIN(D30+J30,P30+IF(D$3=$V30,$U30,0)))</f>
        <v>286</v>
      </c>
      <c r="Z30" s="15" t="n">
        <f aca="false">IF(E30&lt;=0.005,0,MIN(E30+K30,Q30+IF(E$3=$V30,$U30,0)))</f>
        <v>0</v>
      </c>
      <c r="AA30" s="15" t="n">
        <f aca="false">IF(F30&lt;=0.005,0,MIN(F30+L30,R30+IF(F$3=$V30,$U30,0)))</f>
        <v>0</v>
      </c>
      <c r="AB30" s="15" t="n">
        <f aca="false">IF(G30&lt;=0.005,0,MIN(G30+M30,S30+IF(G$3=$V30,$U30,0)))</f>
        <v>0</v>
      </c>
      <c r="AC30" s="15" t="n">
        <f aca="false">MAX(0,B30+H30-W30)</f>
        <v>0</v>
      </c>
      <c r="AD30" s="15" t="n">
        <f aca="false">MAX(0,C30+I30-X30)</f>
        <v>0</v>
      </c>
      <c r="AE30" s="15" t="n">
        <f aca="false">MAX(0,D30+J30-Y30)</f>
        <v>415.926797054661</v>
      </c>
      <c r="AF30" s="15" t="n">
        <f aca="false">MAX(0,E30+K30-Z30)</f>
        <v>0</v>
      </c>
      <c r="AG30" s="15" t="n">
        <f aca="false">MAX(0,F30+L30-AA30)</f>
        <v>0</v>
      </c>
      <c r="AH30" s="15" t="n">
        <f aca="false">MAX(0,G30+M30-AB30)</f>
        <v>0</v>
      </c>
      <c r="AI30" s="15" t="n">
        <f aca="false">SUM(H30:M30)</f>
        <v>14.8858863975703</v>
      </c>
      <c r="AJ30" s="15" t="n">
        <f aca="false">SUM(AC30:AH30)</f>
        <v>415.926797054661</v>
      </c>
    </row>
    <row r="31" customFormat="false" ht="15" hidden="false" customHeight="false" outlineLevel="0" collapsed="false">
      <c r="A31" s="0" t="n">
        <v>27</v>
      </c>
      <c r="B31" s="15" t="n">
        <f aca="false">AC30</f>
        <v>0</v>
      </c>
      <c r="C31" s="15" t="n">
        <f aca="false">AD30</f>
        <v>0</v>
      </c>
      <c r="D31" s="15" t="n">
        <f aca="false">AE30</f>
        <v>415.926797054661</v>
      </c>
      <c r="E31" s="15" t="n">
        <f aca="false">AF30</f>
        <v>0</v>
      </c>
      <c r="F31" s="15" t="n">
        <f aca="false">AG30</f>
        <v>0</v>
      </c>
      <c r="G31" s="15" t="n">
        <f aca="false">AH30</f>
        <v>0</v>
      </c>
      <c r="H31" s="15" t="n">
        <f aca="false">B31*N(Debts!C7)/12</f>
        <v>0</v>
      </c>
      <c r="I31" s="15" t="n">
        <f aca="false">C31*N(Debts!C8)/12</f>
        <v>0</v>
      </c>
      <c r="J31" s="15" t="n">
        <f aca="false">D31*N(Debts!C9)/12</f>
        <v>9.01174726951765</v>
      </c>
      <c r="K31" s="15" t="n">
        <f aca="false">E31*N(Debts!C10)/12</f>
        <v>0</v>
      </c>
      <c r="L31" s="15" t="n">
        <f aca="false">F31*N(Debts!C11)/12</f>
        <v>0</v>
      </c>
      <c r="M31" s="15" t="n">
        <f aca="false">G31*N(Debts!C12)/12</f>
        <v>0</v>
      </c>
      <c r="N31" s="15" t="n">
        <f aca="false">MIN(B31+H31,N(Debts!D7))</f>
        <v>0</v>
      </c>
      <c r="O31" s="15" t="n">
        <f aca="false">MIN(C31+I31,N(Debts!D8))</f>
        <v>0</v>
      </c>
      <c r="P31" s="15" t="n">
        <f aca="false">MIN(D31+J31,N(Debts!D9))</f>
        <v>96</v>
      </c>
      <c r="Q31" s="15" t="n">
        <f aca="false">MIN(E31+K31,N(Debts!D10))</f>
        <v>0</v>
      </c>
      <c r="R31" s="15" t="n">
        <f aca="false">MIN(F31+L31,N(Debts!D11))</f>
        <v>0</v>
      </c>
      <c r="S31" s="15" t="n">
        <f aca="false">MIN(G31+M31,N(Debts!D12))</f>
        <v>0</v>
      </c>
      <c r="T31" s="15" t="n">
        <f aca="false">Debts!$B$14</f>
        <v>286</v>
      </c>
      <c r="U31" s="15" t="n">
        <f aca="false">MAX(0,T31-SUM(N31:S31))</f>
        <v>190</v>
      </c>
      <c r="V31" s="16" t="n">
        <f aca="false">_xlfn.MINIFS($B$3:$G$3,B31:G31,"&gt;0.005")</f>
        <v>3</v>
      </c>
      <c r="W31" s="15" t="n">
        <f aca="false">IF(B31&lt;=0.005,0,MIN(B31+H31,N31+IF(B$3=$V31,$U31,0)))</f>
        <v>0</v>
      </c>
      <c r="X31" s="15" t="n">
        <f aca="false">IF(C31&lt;=0.005,0,MIN(C31+I31,O31+IF(C$3=$V31,$U31,0)))</f>
        <v>0</v>
      </c>
      <c r="Y31" s="15" t="n">
        <f aca="false">IF(D31&lt;=0.005,0,MIN(D31+J31,P31+IF(D$3=$V31,$U31,0)))</f>
        <v>286</v>
      </c>
      <c r="Z31" s="15" t="n">
        <f aca="false">IF(E31&lt;=0.005,0,MIN(E31+K31,Q31+IF(E$3=$V31,$U31,0)))</f>
        <v>0</v>
      </c>
      <c r="AA31" s="15" t="n">
        <f aca="false">IF(F31&lt;=0.005,0,MIN(F31+L31,R31+IF(F$3=$V31,$U31,0)))</f>
        <v>0</v>
      </c>
      <c r="AB31" s="15" t="n">
        <f aca="false">IF(G31&lt;=0.005,0,MIN(G31+M31,S31+IF(G$3=$V31,$U31,0)))</f>
        <v>0</v>
      </c>
      <c r="AC31" s="15" t="n">
        <f aca="false">MAX(0,B31+H31-W31)</f>
        <v>0</v>
      </c>
      <c r="AD31" s="15" t="n">
        <f aca="false">MAX(0,C31+I31-X31)</f>
        <v>0</v>
      </c>
      <c r="AE31" s="15" t="n">
        <f aca="false">MAX(0,D31+J31-Y31)</f>
        <v>138.938544324179</v>
      </c>
      <c r="AF31" s="15" t="n">
        <f aca="false">MAX(0,E31+K31-Z31)</f>
        <v>0</v>
      </c>
      <c r="AG31" s="15" t="n">
        <f aca="false">MAX(0,F31+L31-AA31)</f>
        <v>0</v>
      </c>
      <c r="AH31" s="15" t="n">
        <f aca="false">MAX(0,G31+M31-AB31)</f>
        <v>0</v>
      </c>
      <c r="AI31" s="15" t="n">
        <f aca="false">SUM(H31:M31)</f>
        <v>9.01174726951765</v>
      </c>
      <c r="AJ31" s="15" t="n">
        <f aca="false">SUM(AC31:AH31)</f>
        <v>138.938544324179</v>
      </c>
    </row>
    <row r="32" customFormat="false" ht="15" hidden="false" customHeight="false" outlineLevel="0" collapsed="false">
      <c r="A32" s="0" t="n">
        <v>28</v>
      </c>
      <c r="B32" s="15" t="n">
        <f aca="false">AC31</f>
        <v>0</v>
      </c>
      <c r="C32" s="15" t="n">
        <f aca="false">AD31</f>
        <v>0</v>
      </c>
      <c r="D32" s="15" t="n">
        <f aca="false">AE31</f>
        <v>138.938544324179</v>
      </c>
      <c r="E32" s="15" t="n">
        <f aca="false">AF31</f>
        <v>0</v>
      </c>
      <c r="F32" s="15" t="n">
        <f aca="false">AG31</f>
        <v>0</v>
      </c>
      <c r="G32" s="15" t="n">
        <f aca="false">AH31</f>
        <v>0</v>
      </c>
      <c r="H32" s="15" t="n">
        <f aca="false">B32*N(Debts!C7)/12</f>
        <v>0</v>
      </c>
      <c r="I32" s="15" t="n">
        <f aca="false">C32*N(Debts!C8)/12</f>
        <v>0</v>
      </c>
      <c r="J32" s="15" t="n">
        <f aca="false">D32*N(Debts!C9)/12</f>
        <v>3.01033512702387</v>
      </c>
      <c r="K32" s="15" t="n">
        <f aca="false">E32*N(Debts!C10)/12</f>
        <v>0</v>
      </c>
      <c r="L32" s="15" t="n">
        <f aca="false">F32*N(Debts!C11)/12</f>
        <v>0</v>
      </c>
      <c r="M32" s="15" t="n">
        <f aca="false">G32*N(Debts!C12)/12</f>
        <v>0</v>
      </c>
      <c r="N32" s="15" t="n">
        <f aca="false">MIN(B32+H32,N(Debts!D7))</f>
        <v>0</v>
      </c>
      <c r="O32" s="15" t="n">
        <f aca="false">MIN(C32+I32,N(Debts!D8))</f>
        <v>0</v>
      </c>
      <c r="P32" s="15" t="n">
        <f aca="false">MIN(D32+J32,N(Debts!D9))</f>
        <v>96</v>
      </c>
      <c r="Q32" s="15" t="n">
        <f aca="false">MIN(E32+K32,N(Debts!D10))</f>
        <v>0</v>
      </c>
      <c r="R32" s="15" t="n">
        <f aca="false">MIN(F32+L32,N(Debts!D11))</f>
        <v>0</v>
      </c>
      <c r="S32" s="15" t="n">
        <f aca="false">MIN(G32+M32,N(Debts!D12))</f>
        <v>0</v>
      </c>
      <c r="T32" s="15" t="n">
        <f aca="false">Debts!$B$14</f>
        <v>286</v>
      </c>
      <c r="U32" s="15" t="n">
        <f aca="false">MAX(0,T32-SUM(N32:S32))</f>
        <v>190</v>
      </c>
      <c r="V32" s="16" t="n">
        <f aca="false">_xlfn.MINIFS($B$3:$G$3,B32:G32,"&gt;0.005")</f>
        <v>3</v>
      </c>
      <c r="W32" s="15" t="n">
        <f aca="false">IF(B32&lt;=0.005,0,MIN(B32+H32,N32+IF(B$3=$V32,$U32,0)))</f>
        <v>0</v>
      </c>
      <c r="X32" s="15" t="n">
        <f aca="false">IF(C32&lt;=0.005,0,MIN(C32+I32,O32+IF(C$3=$V32,$U32,0)))</f>
        <v>0</v>
      </c>
      <c r="Y32" s="15" t="n">
        <f aca="false">IF(D32&lt;=0.005,0,MIN(D32+J32,P32+IF(D$3=$V32,$U32,0)))</f>
        <v>141.948879451202</v>
      </c>
      <c r="Z32" s="15" t="n">
        <f aca="false">IF(E32&lt;=0.005,0,MIN(E32+K32,Q32+IF(E$3=$V32,$U32,0)))</f>
        <v>0</v>
      </c>
      <c r="AA32" s="15" t="n">
        <f aca="false">IF(F32&lt;=0.005,0,MIN(F32+L32,R32+IF(F$3=$V32,$U32,0)))</f>
        <v>0</v>
      </c>
      <c r="AB32" s="15" t="n">
        <f aca="false">IF(G32&lt;=0.005,0,MIN(G32+M32,S32+IF(G$3=$V32,$U32,0)))</f>
        <v>0</v>
      </c>
      <c r="AC32" s="15" t="n">
        <f aca="false">MAX(0,B32+H32-W32)</f>
        <v>0</v>
      </c>
      <c r="AD32" s="15" t="n">
        <f aca="false">MAX(0,C32+I32-X32)</f>
        <v>0</v>
      </c>
      <c r="AE32" s="15" t="n">
        <f aca="false">MAX(0,D32+J32-Y32)</f>
        <v>0</v>
      </c>
      <c r="AF32" s="15" t="n">
        <f aca="false">MAX(0,E32+K32-Z32)</f>
        <v>0</v>
      </c>
      <c r="AG32" s="15" t="n">
        <f aca="false">MAX(0,F32+L32-AA32)</f>
        <v>0</v>
      </c>
      <c r="AH32" s="15" t="n">
        <f aca="false">MAX(0,G32+M32-AB32)</f>
        <v>0</v>
      </c>
      <c r="AI32" s="15" t="n">
        <f aca="false">SUM(H32:M32)</f>
        <v>3.01033512702387</v>
      </c>
      <c r="AJ32" s="15" t="n">
        <f aca="false">SUM(AC32:AH32)</f>
        <v>0</v>
      </c>
    </row>
    <row r="33" customFormat="false" ht="15" hidden="false" customHeight="false" outlineLevel="0" collapsed="false">
      <c r="A33" s="0" t="n">
        <v>29</v>
      </c>
      <c r="B33" s="15" t="n">
        <f aca="false">AC32</f>
        <v>0</v>
      </c>
      <c r="C33" s="15" t="n">
        <f aca="false">AD32</f>
        <v>0</v>
      </c>
      <c r="D33" s="15" t="n">
        <f aca="false">AE32</f>
        <v>0</v>
      </c>
      <c r="E33" s="15" t="n">
        <f aca="false">AF32</f>
        <v>0</v>
      </c>
      <c r="F33" s="15" t="n">
        <f aca="false">AG32</f>
        <v>0</v>
      </c>
      <c r="G33" s="15" t="n">
        <f aca="false">AH32</f>
        <v>0</v>
      </c>
      <c r="H33" s="15" t="n">
        <f aca="false">B33*N(Debts!C7)/12</f>
        <v>0</v>
      </c>
      <c r="I33" s="15" t="n">
        <f aca="false">C33*N(Debts!C8)/12</f>
        <v>0</v>
      </c>
      <c r="J33" s="15" t="n">
        <f aca="false">D33*N(Debts!C9)/12</f>
        <v>0</v>
      </c>
      <c r="K33" s="15" t="n">
        <f aca="false">E33*N(Debts!C10)/12</f>
        <v>0</v>
      </c>
      <c r="L33" s="15" t="n">
        <f aca="false">F33*N(Debts!C11)/12</f>
        <v>0</v>
      </c>
      <c r="M33" s="15" t="n">
        <f aca="false">G33*N(Debts!C12)/12</f>
        <v>0</v>
      </c>
      <c r="N33" s="15" t="n">
        <f aca="false">MIN(B33+H33,N(Debts!D7))</f>
        <v>0</v>
      </c>
      <c r="O33" s="15" t="n">
        <f aca="false">MIN(C33+I33,N(Debts!D8))</f>
        <v>0</v>
      </c>
      <c r="P33" s="15" t="n">
        <f aca="false">MIN(D33+J33,N(Debts!D9))</f>
        <v>0</v>
      </c>
      <c r="Q33" s="15" t="n">
        <f aca="false">MIN(E33+K33,N(Debts!D10))</f>
        <v>0</v>
      </c>
      <c r="R33" s="15" t="n">
        <f aca="false">MIN(F33+L33,N(Debts!D11))</f>
        <v>0</v>
      </c>
      <c r="S33" s="15" t="n">
        <f aca="false">MIN(G33+M33,N(Debts!D12))</f>
        <v>0</v>
      </c>
      <c r="T33" s="15" t="n">
        <f aca="false">Debts!$B$14</f>
        <v>286</v>
      </c>
      <c r="U33" s="15" t="n">
        <f aca="false">MAX(0,T33-SUM(N33:S33))</f>
        <v>286</v>
      </c>
      <c r="V33" s="16" t="n">
        <f aca="false">_xlfn.MINIFS($B$3:$G$3,B33:G33,"&gt;0.005")</f>
        <v>0</v>
      </c>
      <c r="W33" s="15" t="n">
        <f aca="false">IF(B33&lt;=0.005,0,MIN(B33+H33,N33+IF(B$3=$V33,$U33,0)))</f>
        <v>0</v>
      </c>
      <c r="X33" s="15" t="n">
        <f aca="false">IF(C33&lt;=0.005,0,MIN(C33+I33,O33+IF(C$3=$V33,$U33,0)))</f>
        <v>0</v>
      </c>
      <c r="Y33" s="15" t="n">
        <f aca="false">IF(D33&lt;=0.005,0,MIN(D33+J33,P33+IF(D$3=$V33,$U33,0)))</f>
        <v>0</v>
      </c>
      <c r="Z33" s="15" t="n">
        <f aca="false">IF(E33&lt;=0.005,0,MIN(E33+K33,Q33+IF(E$3=$V33,$U33,0)))</f>
        <v>0</v>
      </c>
      <c r="AA33" s="15" t="n">
        <f aca="false">IF(F33&lt;=0.005,0,MIN(F33+L33,R33+IF(F$3=$V33,$U33,0)))</f>
        <v>0</v>
      </c>
      <c r="AB33" s="15" t="n">
        <f aca="false">IF(G33&lt;=0.005,0,MIN(G33+M33,S33+IF(G$3=$V33,$U33,0)))</f>
        <v>0</v>
      </c>
      <c r="AC33" s="15" t="n">
        <f aca="false">MAX(0,B33+H33-W33)</f>
        <v>0</v>
      </c>
      <c r="AD33" s="15" t="n">
        <f aca="false">MAX(0,C33+I33-X33)</f>
        <v>0</v>
      </c>
      <c r="AE33" s="15" t="n">
        <f aca="false">MAX(0,D33+J33-Y33)</f>
        <v>0</v>
      </c>
      <c r="AF33" s="15" t="n">
        <f aca="false">MAX(0,E33+K33-Z33)</f>
        <v>0</v>
      </c>
      <c r="AG33" s="15" t="n">
        <f aca="false">MAX(0,F33+L33-AA33)</f>
        <v>0</v>
      </c>
      <c r="AH33" s="15" t="n">
        <f aca="false">MAX(0,G33+M33-AB33)</f>
        <v>0</v>
      </c>
      <c r="AI33" s="15" t="n">
        <f aca="false">SUM(H33:M33)</f>
        <v>0</v>
      </c>
      <c r="AJ33" s="15" t="n">
        <f aca="false">SUM(AC33:AH33)</f>
        <v>0</v>
      </c>
    </row>
    <row r="34" customFormat="false" ht="15" hidden="false" customHeight="false" outlineLevel="0" collapsed="false">
      <c r="A34" s="0" t="n">
        <v>30</v>
      </c>
      <c r="B34" s="15" t="n">
        <f aca="false">AC33</f>
        <v>0</v>
      </c>
      <c r="C34" s="15" t="n">
        <f aca="false">AD33</f>
        <v>0</v>
      </c>
      <c r="D34" s="15" t="n">
        <f aca="false">AE33</f>
        <v>0</v>
      </c>
      <c r="E34" s="15" t="n">
        <f aca="false">AF33</f>
        <v>0</v>
      </c>
      <c r="F34" s="15" t="n">
        <f aca="false">AG33</f>
        <v>0</v>
      </c>
      <c r="G34" s="15" t="n">
        <f aca="false">AH33</f>
        <v>0</v>
      </c>
      <c r="H34" s="15" t="n">
        <f aca="false">B34*N(Debts!C7)/12</f>
        <v>0</v>
      </c>
      <c r="I34" s="15" t="n">
        <f aca="false">C34*N(Debts!C8)/12</f>
        <v>0</v>
      </c>
      <c r="J34" s="15" t="n">
        <f aca="false">D34*N(Debts!C9)/12</f>
        <v>0</v>
      </c>
      <c r="K34" s="15" t="n">
        <f aca="false">E34*N(Debts!C10)/12</f>
        <v>0</v>
      </c>
      <c r="L34" s="15" t="n">
        <f aca="false">F34*N(Debts!C11)/12</f>
        <v>0</v>
      </c>
      <c r="M34" s="15" t="n">
        <f aca="false">G34*N(Debts!C12)/12</f>
        <v>0</v>
      </c>
      <c r="N34" s="15" t="n">
        <f aca="false">MIN(B34+H34,N(Debts!D7))</f>
        <v>0</v>
      </c>
      <c r="O34" s="15" t="n">
        <f aca="false">MIN(C34+I34,N(Debts!D8))</f>
        <v>0</v>
      </c>
      <c r="P34" s="15" t="n">
        <f aca="false">MIN(D34+J34,N(Debts!D9))</f>
        <v>0</v>
      </c>
      <c r="Q34" s="15" t="n">
        <f aca="false">MIN(E34+K34,N(Debts!D10))</f>
        <v>0</v>
      </c>
      <c r="R34" s="15" t="n">
        <f aca="false">MIN(F34+L34,N(Debts!D11))</f>
        <v>0</v>
      </c>
      <c r="S34" s="15" t="n">
        <f aca="false">MIN(G34+M34,N(Debts!D12))</f>
        <v>0</v>
      </c>
      <c r="T34" s="15" t="n">
        <f aca="false">Debts!$B$14</f>
        <v>286</v>
      </c>
      <c r="U34" s="15" t="n">
        <f aca="false">MAX(0,T34-SUM(N34:S34))</f>
        <v>286</v>
      </c>
      <c r="V34" s="16" t="n">
        <f aca="false">_xlfn.MINIFS($B$3:$G$3,B34:G34,"&gt;0.005")</f>
        <v>0</v>
      </c>
      <c r="W34" s="15" t="n">
        <f aca="false">IF(B34&lt;=0.005,0,MIN(B34+H34,N34+IF(B$3=$V34,$U34,0)))</f>
        <v>0</v>
      </c>
      <c r="X34" s="15" t="n">
        <f aca="false">IF(C34&lt;=0.005,0,MIN(C34+I34,O34+IF(C$3=$V34,$U34,0)))</f>
        <v>0</v>
      </c>
      <c r="Y34" s="15" t="n">
        <f aca="false">IF(D34&lt;=0.005,0,MIN(D34+J34,P34+IF(D$3=$V34,$U34,0)))</f>
        <v>0</v>
      </c>
      <c r="Z34" s="15" t="n">
        <f aca="false">IF(E34&lt;=0.005,0,MIN(E34+K34,Q34+IF(E$3=$V34,$U34,0)))</f>
        <v>0</v>
      </c>
      <c r="AA34" s="15" t="n">
        <f aca="false">IF(F34&lt;=0.005,0,MIN(F34+L34,R34+IF(F$3=$V34,$U34,0)))</f>
        <v>0</v>
      </c>
      <c r="AB34" s="15" t="n">
        <f aca="false">IF(G34&lt;=0.005,0,MIN(G34+M34,S34+IF(G$3=$V34,$U34,0)))</f>
        <v>0</v>
      </c>
      <c r="AC34" s="15" t="n">
        <f aca="false">MAX(0,B34+H34-W34)</f>
        <v>0</v>
      </c>
      <c r="AD34" s="15" t="n">
        <f aca="false">MAX(0,C34+I34-X34)</f>
        <v>0</v>
      </c>
      <c r="AE34" s="15" t="n">
        <f aca="false">MAX(0,D34+J34-Y34)</f>
        <v>0</v>
      </c>
      <c r="AF34" s="15" t="n">
        <f aca="false">MAX(0,E34+K34-Z34)</f>
        <v>0</v>
      </c>
      <c r="AG34" s="15" t="n">
        <f aca="false">MAX(0,F34+L34-AA34)</f>
        <v>0</v>
      </c>
      <c r="AH34" s="15" t="n">
        <f aca="false">MAX(0,G34+M34-AB34)</f>
        <v>0</v>
      </c>
      <c r="AI34" s="15" t="n">
        <f aca="false">SUM(H34:M34)</f>
        <v>0</v>
      </c>
      <c r="AJ34" s="15" t="n">
        <f aca="false">SUM(AC34:AH34)</f>
        <v>0</v>
      </c>
    </row>
    <row r="35" customFormat="false" ht="15" hidden="false" customHeight="false" outlineLevel="0" collapsed="false">
      <c r="A35" s="0" t="n">
        <v>31</v>
      </c>
      <c r="B35" s="15" t="n">
        <f aca="false">AC34</f>
        <v>0</v>
      </c>
      <c r="C35" s="15" t="n">
        <f aca="false">AD34</f>
        <v>0</v>
      </c>
      <c r="D35" s="15" t="n">
        <f aca="false">AE34</f>
        <v>0</v>
      </c>
      <c r="E35" s="15" t="n">
        <f aca="false">AF34</f>
        <v>0</v>
      </c>
      <c r="F35" s="15" t="n">
        <f aca="false">AG34</f>
        <v>0</v>
      </c>
      <c r="G35" s="15" t="n">
        <f aca="false">AH34</f>
        <v>0</v>
      </c>
      <c r="H35" s="15" t="n">
        <f aca="false">B35*N(Debts!C7)/12</f>
        <v>0</v>
      </c>
      <c r="I35" s="15" t="n">
        <f aca="false">C35*N(Debts!C8)/12</f>
        <v>0</v>
      </c>
      <c r="J35" s="15" t="n">
        <f aca="false">D35*N(Debts!C9)/12</f>
        <v>0</v>
      </c>
      <c r="K35" s="15" t="n">
        <f aca="false">E35*N(Debts!C10)/12</f>
        <v>0</v>
      </c>
      <c r="L35" s="15" t="n">
        <f aca="false">F35*N(Debts!C11)/12</f>
        <v>0</v>
      </c>
      <c r="M35" s="15" t="n">
        <f aca="false">G35*N(Debts!C12)/12</f>
        <v>0</v>
      </c>
      <c r="N35" s="15" t="n">
        <f aca="false">MIN(B35+H35,N(Debts!D7))</f>
        <v>0</v>
      </c>
      <c r="O35" s="15" t="n">
        <f aca="false">MIN(C35+I35,N(Debts!D8))</f>
        <v>0</v>
      </c>
      <c r="P35" s="15" t="n">
        <f aca="false">MIN(D35+J35,N(Debts!D9))</f>
        <v>0</v>
      </c>
      <c r="Q35" s="15" t="n">
        <f aca="false">MIN(E35+K35,N(Debts!D10))</f>
        <v>0</v>
      </c>
      <c r="R35" s="15" t="n">
        <f aca="false">MIN(F35+L35,N(Debts!D11))</f>
        <v>0</v>
      </c>
      <c r="S35" s="15" t="n">
        <f aca="false">MIN(G35+M35,N(Debts!D12))</f>
        <v>0</v>
      </c>
      <c r="T35" s="15" t="n">
        <f aca="false">Debts!$B$14</f>
        <v>286</v>
      </c>
      <c r="U35" s="15" t="n">
        <f aca="false">MAX(0,T35-SUM(N35:S35))</f>
        <v>286</v>
      </c>
      <c r="V35" s="16" t="n">
        <f aca="false">_xlfn.MINIFS($B$3:$G$3,B35:G35,"&gt;0.005")</f>
        <v>0</v>
      </c>
      <c r="W35" s="15" t="n">
        <f aca="false">IF(B35&lt;=0.005,0,MIN(B35+H35,N35+IF(B$3=$V35,$U35,0)))</f>
        <v>0</v>
      </c>
      <c r="X35" s="15" t="n">
        <f aca="false">IF(C35&lt;=0.005,0,MIN(C35+I35,O35+IF(C$3=$V35,$U35,0)))</f>
        <v>0</v>
      </c>
      <c r="Y35" s="15" t="n">
        <f aca="false">IF(D35&lt;=0.005,0,MIN(D35+J35,P35+IF(D$3=$V35,$U35,0)))</f>
        <v>0</v>
      </c>
      <c r="Z35" s="15" t="n">
        <f aca="false">IF(E35&lt;=0.005,0,MIN(E35+K35,Q35+IF(E$3=$V35,$U35,0)))</f>
        <v>0</v>
      </c>
      <c r="AA35" s="15" t="n">
        <f aca="false">IF(F35&lt;=0.005,0,MIN(F35+L35,R35+IF(F$3=$V35,$U35,0)))</f>
        <v>0</v>
      </c>
      <c r="AB35" s="15" t="n">
        <f aca="false">IF(G35&lt;=0.005,0,MIN(G35+M35,S35+IF(G$3=$V35,$U35,0)))</f>
        <v>0</v>
      </c>
      <c r="AC35" s="15" t="n">
        <f aca="false">MAX(0,B35+H35-W35)</f>
        <v>0</v>
      </c>
      <c r="AD35" s="15" t="n">
        <f aca="false">MAX(0,C35+I35-X35)</f>
        <v>0</v>
      </c>
      <c r="AE35" s="15" t="n">
        <f aca="false">MAX(0,D35+J35-Y35)</f>
        <v>0</v>
      </c>
      <c r="AF35" s="15" t="n">
        <f aca="false">MAX(0,E35+K35-Z35)</f>
        <v>0</v>
      </c>
      <c r="AG35" s="15" t="n">
        <f aca="false">MAX(0,F35+L35-AA35)</f>
        <v>0</v>
      </c>
      <c r="AH35" s="15" t="n">
        <f aca="false">MAX(0,G35+M35-AB35)</f>
        <v>0</v>
      </c>
      <c r="AI35" s="15" t="n">
        <f aca="false">SUM(H35:M35)</f>
        <v>0</v>
      </c>
      <c r="AJ35" s="15" t="n">
        <f aca="false">SUM(AC35:AH35)</f>
        <v>0</v>
      </c>
    </row>
    <row r="36" customFormat="false" ht="15" hidden="false" customHeight="false" outlineLevel="0" collapsed="false">
      <c r="A36" s="0" t="n">
        <v>32</v>
      </c>
      <c r="B36" s="15" t="n">
        <f aca="false">AC35</f>
        <v>0</v>
      </c>
      <c r="C36" s="15" t="n">
        <f aca="false">AD35</f>
        <v>0</v>
      </c>
      <c r="D36" s="15" t="n">
        <f aca="false">AE35</f>
        <v>0</v>
      </c>
      <c r="E36" s="15" t="n">
        <f aca="false">AF35</f>
        <v>0</v>
      </c>
      <c r="F36" s="15" t="n">
        <f aca="false">AG35</f>
        <v>0</v>
      </c>
      <c r="G36" s="15" t="n">
        <f aca="false">AH35</f>
        <v>0</v>
      </c>
      <c r="H36" s="15" t="n">
        <f aca="false">B36*N(Debts!C7)/12</f>
        <v>0</v>
      </c>
      <c r="I36" s="15" t="n">
        <f aca="false">C36*N(Debts!C8)/12</f>
        <v>0</v>
      </c>
      <c r="J36" s="15" t="n">
        <f aca="false">D36*N(Debts!C9)/12</f>
        <v>0</v>
      </c>
      <c r="K36" s="15" t="n">
        <f aca="false">E36*N(Debts!C10)/12</f>
        <v>0</v>
      </c>
      <c r="L36" s="15" t="n">
        <f aca="false">F36*N(Debts!C11)/12</f>
        <v>0</v>
      </c>
      <c r="M36" s="15" t="n">
        <f aca="false">G36*N(Debts!C12)/12</f>
        <v>0</v>
      </c>
      <c r="N36" s="15" t="n">
        <f aca="false">MIN(B36+H36,N(Debts!D7))</f>
        <v>0</v>
      </c>
      <c r="O36" s="15" t="n">
        <f aca="false">MIN(C36+I36,N(Debts!D8))</f>
        <v>0</v>
      </c>
      <c r="P36" s="15" t="n">
        <f aca="false">MIN(D36+J36,N(Debts!D9))</f>
        <v>0</v>
      </c>
      <c r="Q36" s="15" t="n">
        <f aca="false">MIN(E36+K36,N(Debts!D10))</f>
        <v>0</v>
      </c>
      <c r="R36" s="15" t="n">
        <f aca="false">MIN(F36+L36,N(Debts!D11))</f>
        <v>0</v>
      </c>
      <c r="S36" s="15" t="n">
        <f aca="false">MIN(G36+M36,N(Debts!D12))</f>
        <v>0</v>
      </c>
      <c r="T36" s="15" t="n">
        <f aca="false">Debts!$B$14</f>
        <v>286</v>
      </c>
      <c r="U36" s="15" t="n">
        <f aca="false">MAX(0,T36-SUM(N36:S36))</f>
        <v>286</v>
      </c>
      <c r="V36" s="16" t="n">
        <f aca="false">_xlfn.MINIFS($B$3:$G$3,B36:G36,"&gt;0.005")</f>
        <v>0</v>
      </c>
      <c r="W36" s="15" t="n">
        <f aca="false">IF(B36&lt;=0.005,0,MIN(B36+H36,N36+IF(B$3=$V36,$U36,0)))</f>
        <v>0</v>
      </c>
      <c r="X36" s="15" t="n">
        <f aca="false">IF(C36&lt;=0.005,0,MIN(C36+I36,O36+IF(C$3=$V36,$U36,0)))</f>
        <v>0</v>
      </c>
      <c r="Y36" s="15" t="n">
        <f aca="false">IF(D36&lt;=0.005,0,MIN(D36+J36,P36+IF(D$3=$V36,$U36,0)))</f>
        <v>0</v>
      </c>
      <c r="Z36" s="15" t="n">
        <f aca="false">IF(E36&lt;=0.005,0,MIN(E36+K36,Q36+IF(E$3=$V36,$U36,0)))</f>
        <v>0</v>
      </c>
      <c r="AA36" s="15" t="n">
        <f aca="false">IF(F36&lt;=0.005,0,MIN(F36+L36,R36+IF(F$3=$V36,$U36,0)))</f>
        <v>0</v>
      </c>
      <c r="AB36" s="15" t="n">
        <f aca="false">IF(G36&lt;=0.005,0,MIN(G36+M36,S36+IF(G$3=$V36,$U36,0)))</f>
        <v>0</v>
      </c>
      <c r="AC36" s="15" t="n">
        <f aca="false">MAX(0,B36+H36-W36)</f>
        <v>0</v>
      </c>
      <c r="AD36" s="15" t="n">
        <f aca="false">MAX(0,C36+I36-X36)</f>
        <v>0</v>
      </c>
      <c r="AE36" s="15" t="n">
        <f aca="false">MAX(0,D36+J36-Y36)</f>
        <v>0</v>
      </c>
      <c r="AF36" s="15" t="n">
        <f aca="false">MAX(0,E36+K36-Z36)</f>
        <v>0</v>
      </c>
      <c r="AG36" s="15" t="n">
        <f aca="false">MAX(0,F36+L36-AA36)</f>
        <v>0</v>
      </c>
      <c r="AH36" s="15" t="n">
        <f aca="false">MAX(0,G36+M36-AB36)</f>
        <v>0</v>
      </c>
      <c r="AI36" s="15" t="n">
        <f aca="false">SUM(H36:M36)</f>
        <v>0</v>
      </c>
      <c r="AJ36" s="15" t="n">
        <f aca="false">SUM(AC36:AH36)</f>
        <v>0</v>
      </c>
    </row>
    <row r="37" customFormat="false" ht="15" hidden="false" customHeight="false" outlineLevel="0" collapsed="false">
      <c r="A37" s="0" t="n">
        <v>33</v>
      </c>
      <c r="B37" s="15" t="n">
        <f aca="false">AC36</f>
        <v>0</v>
      </c>
      <c r="C37" s="15" t="n">
        <f aca="false">AD36</f>
        <v>0</v>
      </c>
      <c r="D37" s="15" t="n">
        <f aca="false">AE36</f>
        <v>0</v>
      </c>
      <c r="E37" s="15" t="n">
        <f aca="false">AF36</f>
        <v>0</v>
      </c>
      <c r="F37" s="15" t="n">
        <f aca="false">AG36</f>
        <v>0</v>
      </c>
      <c r="G37" s="15" t="n">
        <f aca="false">AH36</f>
        <v>0</v>
      </c>
      <c r="H37" s="15" t="n">
        <f aca="false">B37*N(Debts!C7)/12</f>
        <v>0</v>
      </c>
      <c r="I37" s="15" t="n">
        <f aca="false">C37*N(Debts!C8)/12</f>
        <v>0</v>
      </c>
      <c r="J37" s="15" t="n">
        <f aca="false">D37*N(Debts!C9)/12</f>
        <v>0</v>
      </c>
      <c r="K37" s="15" t="n">
        <f aca="false">E37*N(Debts!C10)/12</f>
        <v>0</v>
      </c>
      <c r="L37" s="15" t="n">
        <f aca="false">F37*N(Debts!C11)/12</f>
        <v>0</v>
      </c>
      <c r="M37" s="15" t="n">
        <f aca="false">G37*N(Debts!C12)/12</f>
        <v>0</v>
      </c>
      <c r="N37" s="15" t="n">
        <f aca="false">MIN(B37+H37,N(Debts!D7))</f>
        <v>0</v>
      </c>
      <c r="O37" s="15" t="n">
        <f aca="false">MIN(C37+I37,N(Debts!D8))</f>
        <v>0</v>
      </c>
      <c r="P37" s="15" t="n">
        <f aca="false">MIN(D37+J37,N(Debts!D9))</f>
        <v>0</v>
      </c>
      <c r="Q37" s="15" t="n">
        <f aca="false">MIN(E37+K37,N(Debts!D10))</f>
        <v>0</v>
      </c>
      <c r="R37" s="15" t="n">
        <f aca="false">MIN(F37+L37,N(Debts!D11))</f>
        <v>0</v>
      </c>
      <c r="S37" s="15" t="n">
        <f aca="false">MIN(G37+M37,N(Debts!D12))</f>
        <v>0</v>
      </c>
      <c r="T37" s="15" t="n">
        <f aca="false">Debts!$B$14</f>
        <v>286</v>
      </c>
      <c r="U37" s="15" t="n">
        <f aca="false">MAX(0,T37-SUM(N37:S37))</f>
        <v>286</v>
      </c>
      <c r="V37" s="16" t="n">
        <f aca="false">_xlfn.MINIFS($B$3:$G$3,B37:G37,"&gt;0.005")</f>
        <v>0</v>
      </c>
      <c r="W37" s="15" t="n">
        <f aca="false">IF(B37&lt;=0.005,0,MIN(B37+H37,N37+IF(B$3=$V37,$U37,0)))</f>
        <v>0</v>
      </c>
      <c r="X37" s="15" t="n">
        <f aca="false">IF(C37&lt;=0.005,0,MIN(C37+I37,O37+IF(C$3=$V37,$U37,0)))</f>
        <v>0</v>
      </c>
      <c r="Y37" s="15" t="n">
        <f aca="false">IF(D37&lt;=0.005,0,MIN(D37+J37,P37+IF(D$3=$V37,$U37,0)))</f>
        <v>0</v>
      </c>
      <c r="Z37" s="15" t="n">
        <f aca="false">IF(E37&lt;=0.005,0,MIN(E37+K37,Q37+IF(E$3=$V37,$U37,0)))</f>
        <v>0</v>
      </c>
      <c r="AA37" s="15" t="n">
        <f aca="false">IF(F37&lt;=0.005,0,MIN(F37+L37,R37+IF(F$3=$V37,$U37,0)))</f>
        <v>0</v>
      </c>
      <c r="AB37" s="15" t="n">
        <f aca="false">IF(G37&lt;=0.005,0,MIN(G37+M37,S37+IF(G$3=$V37,$U37,0)))</f>
        <v>0</v>
      </c>
      <c r="AC37" s="15" t="n">
        <f aca="false">MAX(0,B37+H37-W37)</f>
        <v>0</v>
      </c>
      <c r="AD37" s="15" t="n">
        <f aca="false">MAX(0,C37+I37-X37)</f>
        <v>0</v>
      </c>
      <c r="AE37" s="15" t="n">
        <f aca="false">MAX(0,D37+J37-Y37)</f>
        <v>0</v>
      </c>
      <c r="AF37" s="15" t="n">
        <f aca="false">MAX(0,E37+K37-Z37)</f>
        <v>0</v>
      </c>
      <c r="AG37" s="15" t="n">
        <f aca="false">MAX(0,F37+L37-AA37)</f>
        <v>0</v>
      </c>
      <c r="AH37" s="15" t="n">
        <f aca="false">MAX(0,G37+M37-AB37)</f>
        <v>0</v>
      </c>
      <c r="AI37" s="15" t="n">
        <f aca="false">SUM(H37:M37)</f>
        <v>0</v>
      </c>
      <c r="AJ37" s="15" t="n">
        <f aca="false">SUM(AC37:AH37)</f>
        <v>0</v>
      </c>
    </row>
    <row r="38" customFormat="false" ht="15" hidden="false" customHeight="false" outlineLevel="0" collapsed="false">
      <c r="A38" s="0" t="n">
        <v>34</v>
      </c>
      <c r="B38" s="15" t="n">
        <f aca="false">AC37</f>
        <v>0</v>
      </c>
      <c r="C38" s="15" t="n">
        <f aca="false">AD37</f>
        <v>0</v>
      </c>
      <c r="D38" s="15" t="n">
        <f aca="false">AE37</f>
        <v>0</v>
      </c>
      <c r="E38" s="15" t="n">
        <f aca="false">AF37</f>
        <v>0</v>
      </c>
      <c r="F38" s="15" t="n">
        <f aca="false">AG37</f>
        <v>0</v>
      </c>
      <c r="G38" s="15" t="n">
        <f aca="false">AH37</f>
        <v>0</v>
      </c>
      <c r="H38" s="15" t="n">
        <f aca="false">B38*N(Debts!C7)/12</f>
        <v>0</v>
      </c>
      <c r="I38" s="15" t="n">
        <f aca="false">C38*N(Debts!C8)/12</f>
        <v>0</v>
      </c>
      <c r="J38" s="15" t="n">
        <f aca="false">D38*N(Debts!C9)/12</f>
        <v>0</v>
      </c>
      <c r="K38" s="15" t="n">
        <f aca="false">E38*N(Debts!C10)/12</f>
        <v>0</v>
      </c>
      <c r="L38" s="15" t="n">
        <f aca="false">F38*N(Debts!C11)/12</f>
        <v>0</v>
      </c>
      <c r="M38" s="15" t="n">
        <f aca="false">G38*N(Debts!C12)/12</f>
        <v>0</v>
      </c>
      <c r="N38" s="15" t="n">
        <f aca="false">MIN(B38+H38,N(Debts!D7))</f>
        <v>0</v>
      </c>
      <c r="O38" s="15" t="n">
        <f aca="false">MIN(C38+I38,N(Debts!D8))</f>
        <v>0</v>
      </c>
      <c r="P38" s="15" t="n">
        <f aca="false">MIN(D38+J38,N(Debts!D9))</f>
        <v>0</v>
      </c>
      <c r="Q38" s="15" t="n">
        <f aca="false">MIN(E38+K38,N(Debts!D10))</f>
        <v>0</v>
      </c>
      <c r="R38" s="15" t="n">
        <f aca="false">MIN(F38+L38,N(Debts!D11))</f>
        <v>0</v>
      </c>
      <c r="S38" s="15" t="n">
        <f aca="false">MIN(G38+M38,N(Debts!D12))</f>
        <v>0</v>
      </c>
      <c r="T38" s="15" t="n">
        <f aca="false">Debts!$B$14</f>
        <v>286</v>
      </c>
      <c r="U38" s="15" t="n">
        <f aca="false">MAX(0,T38-SUM(N38:S38))</f>
        <v>286</v>
      </c>
      <c r="V38" s="16" t="n">
        <f aca="false">_xlfn.MINIFS($B$3:$G$3,B38:G38,"&gt;0.005")</f>
        <v>0</v>
      </c>
      <c r="W38" s="15" t="n">
        <f aca="false">IF(B38&lt;=0.005,0,MIN(B38+H38,N38+IF(B$3=$V38,$U38,0)))</f>
        <v>0</v>
      </c>
      <c r="X38" s="15" t="n">
        <f aca="false">IF(C38&lt;=0.005,0,MIN(C38+I38,O38+IF(C$3=$V38,$U38,0)))</f>
        <v>0</v>
      </c>
      <c r="Y38" s="15" t="n">
        <f aca="false">IF(D38&lt;=0.005,0,MIN(D38+J38,P38+IF(D$3=$V38,$U38,0)))</f>
        <v>0</v>
      </c>
      <c r="Z38" s="15" t="n">
        <f aca="false">IF(E38&lt;=0.005,0,MIN(E38+K38,Q38+IF(E$3=$V38,$U38,0)))</f>
        <v>0</v>
      </c>
      <c r="AA38" s="15" t="n">
        <f aca="false">IF(F38&lt;=0.005,0,MIN(F38+L38,R38+IF(F$3=$V38,$U38,0)))</f>
        <v>0</v>
      </c>
      <c r="AB38" s="15" t="n">
        <f aca="false">IF(G38&lt;=0.005,0,MIN(G38+M38,S38+IF(G$3=$V38,$U38,0)))</f>
        <v>0</v>
      </c>
      <c r="AC38" s="15" t="n">
        <f aca="false">MAX(0,B38+H38-W38)</f>
        <v>0</v>
      </c>
      <c r="AD38" s="15" t="n">
        <f aca="false">MAX(0,C38+I38-X38)</f>
        <v>0</v>
      </c>
      <c r="AE38" s="15" t="n">
        <f aca="false">MAX(0,D38+J38-Y38)</f>
        <v>0</v>
      </c>
      <c r="AF38" s="15" t="n">
        <f aca="false">MAX(0,E38+K38-Z38)</f>
        <v>0</v>
      </c>
      <c r="AG38" s="15" t="n">
        <f aca="false">MAX(0,F38+L38-AA38)</f>
        <v>0</v>
      </c>
      <c r="AH38" s="15" t="n">
        <f aca="false">MAX(0,G38+M38-AB38)</f>
        <v>0</v>
      </c>
      <c r="AI38" s="15" t="n">
        <f aca="false">SUM(H38:M38)</f>
        <v>0</v>
      </c>
      <c r="AJ38" s="15" t="n">
        <f aca="false">SUM(AC38:AH38)</f>
        <v>0</v>
      </c>
    </row>
    <row r="39" customFormat="false" ht="15" hidden="false" customHeight="false" outlineLevel="0" collapsed="false">
      <c r="A39" s="0" t="n">
        <v>35</v>
      </c>
      <c r="B39" s="15" t="n">
        <f aca="false">AC38</f>
        <v>0</v>
      </c>
      <c r="C39" s="15" t="n">
        <f aca="false">AD38</f>
        <v>0</v>
      </c>
      <c r="D39" s="15" t="n">
        <f aca="false">AE38</f>
        <v>0</v>
      </c>
      <c r="E39" s="15" t="n">
        <f aca="false">AF38</f>
        <v>0</v>
      </c>
      <c r="F39" s="15" t="n">
        <f aca="false">AG38</f>
        <v>0</v>
      </c>
      <c r="G39" s="15" t="n">
        <f aca="false">AH38</f>
        <v>0</v>
      </c>
      <c r="H39" s="15" t="n">
        <f aca="false">B39*N(Debts!C7)/12</f>
        <v>0</v>
      </c>
      <c r="I39" s="15" t="n">
        <f aca="false">C39*N(Debts!C8)/12</f>
        <v>0</v>
      </c>
      <c r="J39" s="15" t="n">
        <f aca="false">D39*N(Debts!C9)/12</f>
        <v>0</v>
      </c>
      <c r="K39" s="15" t="n">
        <f aca="false">E39*N(Debts!C10)/12</f>
        <v>0</v>
      </c>
      <c r="L39" s="15" t="n">
        <f aca="false">F39*N(Debts!C11)/12</f>
        <v>0</v>
      </c>
      <c r="M39" s="15" t="n">
        <f aca="false">G39*N(Debts!C12)/12</f>
        <v>0</v>
      </c>
      <c r="N39" s="15" t="n">
        <f aca="false">MIN(B39+H39,N(Debts!D7))</f>
        <v>0</v>
      </c>
      <c r="O39" s="15" t="n">
        <f aca="false">MIN(C39+I39,N(Debts!D8))</f>
        <v>0</v>
      </c>
      <c r="P39" s="15" t="n">
        <f aca="false">MIN(D39+J39,N(Debts!D9))</f>
        <v>0</v>
      </c>
      <c r="Q39" s="15" t="n">
        <f aca="false">MIN(E39+K39,N(Debts!D10))</f>
        <v>0</v>
      </c>
      <c r="R39" s="15" t="n">
        <f aca="false">MIN(F39+L39,N(Debts!D11))</f>
        <v>0</v>
      </c>
      <c r="S39" s="15" t="n">
        <f aca="false">MIN(G39+M39,N(Debts!D12))</f>
        <v>0</v>
      </c>
      <c r="T39" s="15" t="n">
        <f aca="false">Debts!$B$14</f>
        <v>286</v>
      </c>
      <c r="U39" s="15" t="n">
        <f aca="false">MAX(0,T39-SUM(N39:S39))</f>
        <v>286</v>
      </c>
      <c r="V39" s="16" t="n">
        <f aca="false">_xlfn.MINIFS($B$3:$G$3,B39:G39,"&gt;0.005")</f>
        <v>0</v>
      </c>
      <c r="W39" s="15" t="n">
        <f aca="false">IF(B39&lt;=0.005,0,MIN(B39+H39,N39+IF(B$3=$V39,$U39,0)))</f>
        <v>0</v>
      </c>
      <c r="X39" s="15" t="n">
        <f aca="false">IF(C39&lt;=0.005,0,MIN(C39+I39,O39+IF(C$3=$V39,$U39,0)))</f>
        <v>0</v>
      </c>
      <c r="Y39" s="15" t="n">
        <f aca="false">IF(D39&lt;=0.005,0,MIN(D39+J39,P39+IF(D$3=$V39,$U39,0)))</f>
        <v>0</v>
      </c>
      <c r="Z39" s="15" t="n">
        <f aca="false">IF(E39&lt;=0.005,0,MIN(E39+K39,Q39+IF(E$3=$V39,$U39,0)))</f>
        <v>0</v>
      </c>
      <c r="AA39" s="15" t="n">
        <f aca="false">IF(F39&lt;=0.005,0,MIN(F39+L39,R39+IF(F$3=$V39,$U39,0)))</f>
        <v>0</v>
      </c>
      <c r="AB39" s="15" t="n">
        <f aca="false">IF(G39&lt;=0.005,0,MIN(G39+M39,S39+IF(G$3=$V39,$U39,0)))</f>
        <v>0</v>
      </c>
      <c r="AC39" s="15" t="n">
        <f aca="false">MAX(0,B39+H39-W39)</f>
        <v>0</v>
      </c>
      <c r="AD39" s="15" t="n">
        <f aca="false">MAX(0,C39+I39-X39)</f>
        <v>0</v>
      </c>
      <c r="AE39" s="15" t="n">
        <f aca="false">MAX(0,D39+J39-Y39)</f>
        <v>0</v>
      </c>
      <c r="AF39" s="15" t="n">
        <f aca="false">MAX(0,E39+K39-Z39)</f>
        <v>0</v>
      </c>
      <c r="AG39" s="15" t="n">
        <f aca="false">MAX(0,F39+L39-AA39)</f>
        <v>0</v>
      </c>
      <c r="AH39" s="15" t="n">
        <f aca="false">MAX(0,G39+M39-AB39)</f>
        <v>0</v>
      </c>
      <c r="AI39" s="15" t="n">
        <f aca="false">SUM(H39:M39)</f>
        <v>0</v>
      </c>
      <c r="AJ39" s="15" t="n">
        <f aca="false">SUM(AC39:AH39)</f>
        <v>0</v>
      </c>
    </row>
    <row r="40" customFormat="false" ht="15" hidden="false" customHeight="false" outlineLevel="0" collapsed="false">
      <c r="A40" s="0" t="n">
        <v>36</v>
      </c>
      <c r="B40" s="15" t="n">
        <f aca="false">AC39</f>
        <v>0</v>
      </c>
      <c r="C40" s="15" t="n">
        <f aca="false">AD39</f>
        <v>0</v>
      </c>
      <c r="D40" s="15" t="n">
        <f aca="false">AE39</f>
        <v>0</v>
      </c>
      <c r="E40" s="15" t="n">
        <f aca="false">AF39</f>
        <v>0</v>
      </c>
      <c r="F40" s="15" t="n">
        <f aca="false">AG39</f>
        <v>0</v>
      </c>
      <c r="G40" s="15" t="n">
        <f aca="false">AH39</f>
        <v>0</v>
      </c>
      <c r="H40" s="15" t="n">
        <f aca="false">B40*N(Debts!C7)/12</f>
        <v>0</v>
      </c>
      <c r="I40" s="15" t="n">
        <f aca="false">C40*N(Debts!C8)/12</f>
        <v>0</v>
      </c>
      <c r="J40" s="15" t="n">
        <f aca="false">D40*N(Debts!C9)/12</f>
        <v>0</v>
      </c>
      <c r="K40" s="15" t="n">
        <f aca="false">E40*N(Debts!C10)/12</f>
        <v>0</v>
      </c>
      <c r="L40" s="15" t="n">
        <f aca="false">F40*N(Debts!C11)/12</f>
        <v>0</v>
      </c>
      <c r="M40" s="15" t="n">
        <f aca="false">G40*N(Debts!C12)/12</f>
        <v>0</v>
      </c>
      <c r="N40" s="15" t="n">
        <f aca="false">MIN(B40+H40,N(Debts!D7))</f>
        <v>0</v>
      </c>
      <c r="O40" s="15" t="n">
        <f aca="false">MIN(C40+I40,N(Debts!D8))</f>
        <v>0</v>
      </c>
      <c r="P40" s="15" t="n">
        <f aca="false">MIN(D40+J40,N(Debts!D9))</f>
        <v>0</v>
      </c>
      <c r="Q40" s="15" t="n">
        <f aca="false">MIN(E40+K40,N(Debts!D10))</f>
        <v>0</v>
      </c>
      <c r="R40" s="15" t="n">
        <f aca="false">MIN(F40+L40,N(Debts!D11))</f>
        <v>0</v>
      </c>
      <c r="S40" s="15" t="n">
        <f aca="false">MIN(G40+M40,N(Debts!D12))</f>
        <v>0</v>
      </c>
      <c r="T40" s="15" t="n">
        <f aca="false">Debts!$B$14</f>
        <v>286</v>
      </c>
      <c r="U40" s="15" t="n">
        <f aca="false">MAX(0,T40-SUM(N40:S40))</f>
        <v>286</v>
      </c>
      <c r="V40" s="16" t="n">
        <f aca="false">_xlfn.MINIFS($B$3:$G$3,B40:G40,"&gt;0.005")</f>
        <v>0</v>
      </c>
      <c r="W40" s="15" t="n">
        <f aca="false">IF(B40&lt;=0.005,0,MIN(B40+H40,N40+IF(B$3=$V40,$U40,0)))</f>
        <v>0</v>
      </c>
      <c r="X40" s="15" t="n">
        <f aca="false">IF(C40&lt;=0.005,0,MIN(C40+I40,O40+IF(C$3=$V40,$U40,0)))</f>
        <v>0</v>
      </c>
      <c r="Y40" s="15" t="n">
        <f aca="false">IF(D40&lt;=0.005,0,MIN(D40+J40,P40+IF(D$3=$V40,$U40,0)))</f>
        <v>0</v>
      </c>
      <c r="Z40" s="15" t="n">
        <f aca="false">IF(E40&lt;=0.005,0,MIN(E40+K40,Q40+IF(E$3=$V40,$U40,0)))</f>
        <v>0</v>
      </c>
      <c r="AA40" s="15" t="n">
        <f aca="false">IF(F40&lt;=0.005,0,MIN(F40+L40,R40+IF(F$3=$V40,$U40,0)))</f>
        <v>0</v>
      </c>
      <c r="AB40" s="15" t="n">
        <f aca="false">IF(G40&lt;=0.005,0,MIN(G40+M40,S40+IF(G$3=$V40,$U40,0)))</f>
        <v>0</v>
      </c>
      <c r="AC40" s="15" t="n">
        <f aca="false">MAX(0,B40+H40-W40)</f>
        <v>0</v>
      </c>
      <c r="AD40" s="15" t="n">
        <f aca="false">MAX(0,C40+I40-X40)</f>
        <v>0</v>
      </c>
      <c r="AE40" s="15" t="n">
        <f aca="false">MAX(0,D40+J40-Y40)</f>
        <v>0</v>
      </c>
      <c r="AF40" s="15" t="n">
        <f aca="false">MAX(0,E40+K40-Z40)</f>
        <v>0</v>
      </c>
      <c r="AG40" s="15" t="n">
        <f aca="false">MAX(0,F40+L40-AA40)</f>
        <v>0</v>
      </c>
      <c r="AH40" s="15" t="n">
        <f aca="false">MAX(0,G40+M40-AB40)</f>
        <v>0</v>
      </c>
      <c r="AI40" s="15" t="n">
        <f aca="false">SUM(H40:M40)</f>
        <v>0</v>
      </c>
      <c r="AJ40" s="15" t="n">
        <f aca="false">SUM(AC40:AH40)</f>
        <v>0</v>
      </c>
    </row>
    <row r="41" customFormat="false" ht="15" hidden="false" customHeight="false" outlineLevel="0" collapsed="false">
      <c r="A41" s="0" t="n">
        <v>37</v>
      </c>
      <c r="B41" s="15" t="n">
        <f aca="false">AC40</f>
        <v>0</v>
      </c>
      <c r="C41" s="15" t="n">
        <f aca="false">AD40</f>
        <v>0</v>
      </c>
      <c r="D41" s="15" t="n">
        <f aca="false">AE40</f>
        <v>0</v>
      </c>
      <c r="E41" s="15" t="n">
        <f aca="false">AF40</f>
        <v>0</v>
      </c>
      <c r="F41" s="15" t="n">
        <f aca="false">AG40</f>
        <v>0</v>
      </c>
      <c r="G41" s="15" t="n">
        <f aca="false">AH40</f>
        <v>0</v>
      </c>
      <c r="H41" s="15" t="n">
        <f aca="false">B41*N(Debts!C7)/12</f>
        <v>0</v>
      </c>
      <c r="I41" s="15" t="n">
        <f aca="false">C41*N(Debts!C8)/12</f>
        <v>0</v>
      </c>
      <c r="J41" s="15" t="n">
        <f aca="false">D41*N(Debts!C9)/12</f>
        <v>0</v>
      </c>
      <c r="K41" s="15" t="n">
        <f aca="false">E41*N(Debts!C10)/12</f>
        <v>0</v>
      </c>
      <c r="L41" s="15" t="n">
        <f aca="false">F41*N(Debts!C11)/12</f>
        <v>0</v>
      </c>
      <c r="M41" s="15" t="n">
        <f aca="false">G41*N(Debts!C12)/12</f>
        <v>0</v>
      </c>
      <c r="N41" s="15" t="n">
        <f aca="false">MIN(B41+H41,N(Debts!D7))</f>
        <v>0</v>
      </c>
      <c r="O41" s="15" t="n">
        <f aca="false">MIN(C41+I41,N(Debts!D8))</f>
        <v>0</v>
      </c>
      <c r="P41" s="15" t="n">
        <f aca="false">MIN(D41+J41,N(Debts!D9))</f>
        <v>0</v>
      </c>
      <c r="Q41" s="15" t="n">
        <f aca="false">MIN(E41+K41,N(Debts!D10))</f>
        <v>0</v>
      </c>
      <c r="R41" s="15" t="n">
        <f aca="false">MIN(F41+L41,N(Debts!D11))</f>
        <v>0</v>
      </c>
      <c r="S41" s="15" t="n">
        <f aca="false">MIN(G41+M41,N(Debts!D12))</f>
        <v>0</v>
      </c>
      <c r="T41" s="15" t="n">
        <f aca="false">Debts!$B$14</f>
        <v>286</v>
      </c>
      <c r="U41" s="15" t="n">
        <f aca="false">MAX(0,T41-SUM(N41:S41))</f>
        <v>286</v>
      </c>
      <c r="V41" s="16" t="n">
        <f aca="false">_xlfn.MINIFS($B$3:$G$3,B41:G41,"&gt;0.005")</f>
        <v>0</v>
      </c>
      <c r="W41" s="15" t="n">
        <f aca="false">IF(B41&lt;=0.005,0,MIN(B41+H41,N41+IF(B$3=$V41,$U41,0)))</f>
        <v>0</v>
      </c>
      <c r="X41" s="15" t="n">
        <f aca="false">IF(C41&lt;=0.005,0,MIN(C41+I41,O41+IF(C$3=$V41,$U41,0)))</f>
        <v>0</v>
      </c>
      <c r="Y41" s="15" t="n">
        <f aca="false">IF(D41&lt;=0.005,0,MIN(D41+J41,P41+IF(D$3=$V41,$U41,0)))</f>
        <v>0</v>
      </c>
      <c r="Z41" s="15" t="n">
        <f aca="false">IF(E41&lt;=0.005,0,MIN(E41+K41,Q41+IF(E$3=$V41,$U41,0)))</f>
        <v>0</v>
      </c>
      <c r="AA41" s="15" t="n">
        <f aca="false">IF(F41&lt;=0.005,0,MIN(F41+L41,R41+IF(F$3=$V41,$U41,0)))</f>
        <v>0</v>
      </c>
      <c r="AB41" s="15" t="n">
        <f aca="false">IF(G41&lt;=0.005,0,MIN(G41+M41,S41+IF(G$3=$V41,$U41,0)))</f>
        <v>0</v>
      </c>
      <c r="AC41" s="15" t="n">
        <f aca="false">MAX(0,B41+H41-W41)</f>
        <v>0</v>
      </c>
      <c r="AD41" s="15" t="n">
        <f aca="false">MAX(0,C41+I41-X41)</f>
        <v>0</v>
      </c>
      <c r="AE41" s="15" t="n">
        <f aca="false">MAX(0,D41+J41-Y41)</f>
        <v>0</v>
      </c>
      <c r="AF41" s="15" t="n">
        <f aca="false">MAX(0,E41+K41-Z41)</f>
        <v>0</v>
      </c>
      <c r="AG41" s="15" t="n">
        <f aca="false">MAX(0,F41+L41-AA41)</f>
        <v>0</v>
      </c>
      <c r="AH41" s="15" t="n">
        <f aca="false">MAX(0,G41+M41-AB41)</f>
        <v>0</v>
      </c>
      <c r="AI41" s="15" t="n">
        <f aca="false">SUM(H41:M41)</f>
        <v>0</v>
      </c>
      <c r="AJ41" s="15" t="n">
        <f aca="false">SUM(AC41:AH41)</f>
        <v>0</v>
      </c>
    </row>
    <row r="42" customFormat="false" ht="15" hidden="false" customHeight="false" outlineLevel="0" collapsed="false">
      <c r="A42" s="0" t="n">
        <v>38</v>
      </c>
      <c r="B42" s="15" t="n">
        <f aca="false">AC41</f>
        <v>0</v>
      </c>
      <c r="C42" s="15" t="n">
        <f aca="false">AD41</f>
        <v>0</v>
      </c>
      <c r="D42" s="15" t="n">
        <f aca="false">AE41</f>
        <v>0</v>
      </c>
      <c r="E42" s="15" t="n">
        <f aca="false">AF41</f>
        <v>0</v>
      </c>
      <c r="F42" s="15" t="n">
        <f aca="false">AG41</f>
        <v>0</v>
      </c>
      <c r="G42" s="15" t="n">
        <f aca="false">AH41</f>
        <v>0</v>
      </c>
      <c r="H42" s="15" t="n">
        <f aca="false">B42*N(Debts!C7)/12</f>
        <v>0</v>
      </c>
      <c r="I42" s="15" t="n">
        <f aca="false">C42*N(Debts!C8)/12</f>
        <v>0</v>
      </c>
      <c r="J42" s="15" t="n">
        <f aca="false">D42*N(Debts!C9)/12</f>
        <v>0</v>
      </c>
      <c r="K42" s="15" t="n">
        <f aca="false">E42*N(Debts!C10)/12</f>
        <v>0</v>
      </c>
      <c r="L42" s="15" t="n">
        <f aca="false">F42*N(Debts!C11)/12</f>
        <v>0</v>
      </c>
      <c r="M42" s="15" t="n">
        <f aca="false">G42*N(Debts!C12)/12</f>
        <v>0</v>
      </c>
      <c r="N42" s="15" t="n">
        <f aca="false">MIN(B42+H42,N(Debts!D7))</f>
        <v>0</v>
      </c>
      <c r="O42" s="15" t="n">
        <f aca="false">MIN(C42+I42,N(Debts!D8))</f>
        <v>0</v>
      </c>
      <c r="P42" s="15" t="n">
        <f aca="false">MIN(D42+J42,N(Debts!D9))</f>
        <v>0</v>
      </c>
      <c r="Q42" s="15" t="n">
        <f aca="false">MIN(E42+K42,N(Debts!D10))</f>
        <v>0</v>
      </c>
      <c r="R42" s="15" t="n">
        <f aca="false">MIN(F42+L42,N(Debts!D11))</f>
        <v>0</v>
      </c>
      <c r="S42" s="15" t="n">
        <f aca="false">MIN(G42+M42,N(Debts!D12))</f>
        <v>0</v>
      </c>
      <c r="T42" s="15" t="n">
        <f aca="false">Debts!$B$14</f>
        <v>286</v>
      </c>
      <c r="U42" s="15" t="n">
        <f aca="false">MAX(0,T42-SUM(N42:S42))</f>
        <v>286</v>
      </c>
      <c r="V42" s="16" t="n">
        <f aca="false">_xlfn.MINIFS($B$3:$G$3,B42:G42,"&gt;0.005")</f>
        <v>0</v>
      </c>
      <c r="W42" s="15" t="n">
        <f aca="false">IF(B42&lt;=0.005,0,MIN(B42+H42,N42+IF(B$3=$V42,$U42,0)))</f>
        <v>0</v>
      </c>
      <c r="X42" s="15" t="n">
        <f aca="false">IF(C42&lt;=0.005,0,MIN(C42+I42,O42+IF(C$3=$V42,$U42,0)))</f>
        <v>0</v>
      </c>
      <c r="Y42" s="15" t="n">
        <f aca="false">IF(D42&lt;=0.005,0,MIN(D42+J42,P42+IF(D$3=$V42,$U42,0)))</f>
        <v>0</v>
      </c>
      <c r="Z42" s="15" t="n">
        <f aca="false">IF(E42&lt;=0.005,0,MIN(E42+K42,Q42+IF(E$3=$V42,$U42,0)))</f>
        <v>0</v>
      </c>
      <c r="AA42" s="15" t="n">
        <f aca="false">IF(F42&lt;=0.005,0,MIN(F42+L42,R42+IF(F$3=$V42,$U42,0)))</f>
        <v>0</v>
      </c>
      <c r="AB42" s="15" t="n">
        <f aca="false">IF(G42&lt;=0.005,0,MIN(G42+M42,S42+IF(G$3=$V42,$U42,0)))</f>
        <v>0</v>
      </c>
      <c r="AC42" s="15" t="n">
        <f aca="false">MAX(0,B42+H42-W42)</f>
        <v>0</v>
      </c>
      <c r="AD42" s="15" t="n">
        <f aca="false">MAX(0,C42+I42-X42)</f>
        <v>0</v>
      </c>
      <c r="AE42" s="15" t="n">
        <f aca="false">MAX(0,D42+J42-Y42)</f>
        <v>0</v>
      </c>
      <c r="AF42" s="15" t="n">
        <f aca="false">MAX(0,E42+K42-Z42)</f>
        <v>0</v>
      </c>
      <c r="AG42" s="15" t="n">
        <f aca="false">MAX(0,F42+L42-AA42)</f>
        <v>0</v>
      </c>
      <c r="AH42" s="15" t="n">
        <f aca="false">MAX(0,G42+M42-AB42)</f>
        <v>0</v>
      </c>
      <c r="AI42" s="15" t="n">
        <f aca="false">SUM(H42:M42)</f>
        <v>0</v>
      </c>
      <c r="AJ42" s="15" t="n">
        <f aca="false">SUM(AC42:AH42)</f>
        <v>0</v>
      </c>
    </row>
    <row r="43" customFormat="false" ht="15" hidden="false" customHeight="false" outlineLevel="0" collapsed="false">
      <c r="A43" s="0" t="n">
        <v>39</v>
      </c>
      <c r="B43" s="15" t="n">
        <f aca="false">AC42</f>
        <v>0</v>
      </c>
      <c r="C43" s="15" t="n">
        <f aca="false">AD42</f>
        <v>0</v>
      </c>
      <c r="D43" s="15" t="n">
        <f aca="false">AE42</f>
        <v>0</v>
      </c>
      <c r="E43" s="15" t="n">
        <f aca="false">AF42</f>
        <v>0</v>
      </c>
      <c r="F43" s="15" t="n">
        <f aca="false">AG42</f>
        <v>0</v>
      </c>
      <c r="G43" s="15" t="n">
        <f aca="false">AH42</f>
        <v>0</v>
      </c>
      <c r="H43" s="15" t="n">
        <f aca="false">B43*N(Debts!C7)/12</f>
        <v>0</v>
      </c>
      <c r="I43" s="15" t="n">
        <f aca="false">C43*N(Debts!C8)/12</f>
        <v>0</v>
      </c>
      <c r="J43" s="15" t="n">
        <f aca="false">D43*N(Debts!C9)/12</f>
        <v>0</v>
      </c>
      <c r="K43" s="15" t="n">
        <f aca="false">E43*N(Debts!C10)/12</f>
        <v>0</v>
      </c>
      <c r="L43" s="15" t="n">
        <f aca="false">F43*N(Debts!C11)/12</f>
        <v>0</v>
      </c>
      <c r="M43" s="15" t="n">
        <f aca="false">G43*N(Debts!C12)/12</f>
        <v>0</v>
      </c>
      <c r="N43" s="15" t="n">
        <f aca="false">MIN(B43+H43,N(Debts!D7))</f>
        <v>0</v>
      </c>
      <c r="O43" s="15" t="n">
        <f aca="false">MIN(C43+I43,N(Debts!D8))</f>
        <v>0</v>
      </c>
      <c r="P43" s="15" t="n">
        <f aca="false">MIN(D43+J43,N(Debts!D9))</f>
        <v>0</v>
      </c>
      <c r="Q43" s="15" t="n">
        <f aca="false">MIN(E43+K43,N(Debts!D10))</f>
        <v>0</v>
      </c>
      <c r="R43" s="15" t="n">
        <f aca="false">MIN(F43+L43,N(Debts!D11))</f>
        <v>0</v>
      </c>
      <c r="S43" s="15" t="n">
        <f aca="false">MIN(G43+M43,N(Debts!D12))</f>
        <v>0</v>
      </c>
      <c r="T43" s="15" t="n">
        <f aca="false">Debts!$B$14</f>
        <v>286</v>
      </c>
      <c r="U43" s="15" t="n">
        <f aca="false">MAX(0,T43-SUM(N43:S43))</f>
        <v>286</v>
      </c>
      <c r="V43" s="16" t="n">
        <f aca="false">_xlfn.MINIFS($B$3:$G$3,B43:G43,"&gt;0.005")</f>
        <v>0</v>
      </c>
      <c r="W43" s="15" t="n">
        <f aca="false">IF(B43&lt;=0.005,0,MIN(B43+H43,N43+IF(B$3=$V43,$U43,0)))</f>
        <v>0</v>
      </c>
      <c r="X43" s="15" t="n">
        <f aca="false">IF(C43&lt;=0.005,0,MIN(C43+I43,O43+IF(C$3=$V43,$U43,0)))</f>
        <v>0</v>
      </c>
      <c r="Y43" s="15" t="n">
        <f aca="false">IF(D43&lt;=0.005,0,MIN(D43+J43,P43+IF(D$3=$V43,$U43,0)))</f>
        <v>0</v>
      </c>
      <c r="Z43" s="15" t="n">
        <f aca="false">IF(E43&lt;=0.005,0,MIN(E43+K43,Q43+IF(E$3=$V43,$U43,0)))</f>
        <v>0</v>
      </c>
      <c r="AA43" s="15" t="n">
        <f aca="false">IF(F43&lt;=0.005,0,MIN(F43+L43,R43+IF(F$3=$V43,$U43,0)))</f>
        <v>0</v>
      </c>
      <c r="AB43" s="15" t="n">
        <f aca="false">IF(G43&lt;=0.005,0,MIN(G43+M43,S43+IF(G$3=$V43,$U43,0)))</f>
        <v>0</v>
      </c>
      <c r="AC43" s="15" t="n">
        <f aca="false">MAX(0,B43+H43-W43)</f>
        <v>0</v>
      </c>
      <c r="AD43" s="15" t="n">
        <f aca="false">MAX(0,C43+I43-X43)</f>
        <v>0</v>
      </c>
      <c r="AE43" s="15" t="n">
        <f aca="false">MAX(0,D43+J43-Y43)</f>
        <v>0</v>
      </c>
      <c r="AF43" s="15" t="n">
        <f aca="false">MAX(0,E43+K43-Z43)</f>
        <v>0</v>
      </c>
      <c r="AG43" s="15" t="n">
        <f aca="false">MAX(0,F43+L43-AA43)</f>
        <v>0</v>
      </c>
      <c r="AH43" s="15" t="n">
        <f aca="false">MAX(0,G43+M43-AB43)</f>
        <v>0</v>
      </c>
      <c r="AI43" s="15" t="n">
        <f aca="false">SUM(H43:M43)</f>
        <v>0</v>
      </c>
      <c r="AJ43" s="15" t="n">
        <f aca="false">SUM(AC43:AH43)</f>
        <v>0</v>
      </c>
    </row>
    <row r="44" customFormat="false" ht="15" hidden="false" customHeight="false" outlineLevel="0" collapsed="false">
      <c r="A44" s="0" t="n">
        <v>40</v>
      </c>
      <c r="B44" s="15" t="n">
        <f aca="false">AC43</f>
        <v>0</v>
      </c>
      <c r="C44" s="15" t="n">
        <f aca="false">AD43</f>
        <v>0</v>
      </c>
      <c r="D44" s="15" t="n">
        <f aca="false">AE43</f>
        <v>0</v>
      </c>
      <c r="E44" s="15" t="n">
        <f aca="false">AF43</f>
        <v>0</v>
      </c>
      <c r="F44" s="15" t="n">
        <f aca="false">AG43</f>
        <v>0</v>
      </c>
      <c r="G44" s="15" t="n">
        <f aca="false">AH43</f>
        <v>0</v>
      </c>
      <c r="H44" s="15" t="n">
        <f aca="false">B44*N(Debts!C7)/12</f>
        <v>0</v>
      </c>
      <c r="I44" s="15" t="n">
        <f aca="false">C44*N(Debts!C8)/12</f>
        <v>0</v>
      </c>
      <c r="J44" s="15" t="n">
        <f aca="false">D44*N(Debts!C9)/12</f>
        <v>0</v>
      </c>
      <c r="K44" s="15" t="n">
        <f aca="false">E44*N(Debts!C10)/12</f>
        <v>0</v>
      </c>
      <c r="L44" s="15" t="n">
        <f aca="false">F44*N(Debts!C11)/12</f>
        <v>0</v>
      </c>
      <c r="M44" s="15" t="n">
        <f aca="false">G44*N(Debts!C12)/12</f>
        <v>0</v>
      </c>
      <c r="N44" s="15" t="n">
        <f aca="false">MIN(B44+H44,N(Debts!D7))</f>
        <v>0</v>
      </c>
      <c r="O44" s="15" t="n">
        <f aca="false">MIN(C44+I44,N(Debts!D8))</f>
        <v>0</v>
      </c>
      <c r="P44" s="15" t="n">
        <f aca="false">MIN(D44+J44,N(Debts!D9))</f>
        <v>0</v>
      </c>
      <c r="Q44" s="15" t="n">
        <f aca="false">MIN(E44+K44,N(Debts!D10))</f>
        <v>0</v>
      </c>
      <c r="R44" s="15" t="n">
        <f aca="false">MIN(F44+L44,N(Debts!D11))</f>
        <v>0</v>
      </c>
      <c r="S44" s="15" t="n">
        <f aca="false">MIN(G44+M44,N(Debts!D12))</f>
        <v>0</v>
      </c>
      <c r="T44" s="15" t="n">
        <f aca="false">Debts!$B$14</f>
        <v>286</v>
      </c>
      <c r="U44" s="15" t="n">
        <f aca="false">MAX(0,T44-SUM(N44:S44))</f>
        <v>286</v>
      </c>
      <c r="V44" s="16" t="n">
        <f aca="false">_xlfn.MINIFS($B$3:$G$3,B44:G44,"&gt;0.005")</f>
        <v>0</v>
      </c>
      <c r="W44" s="15" t="n">
        <f aca="false">IF(B44&lt;=0.005,0,MIN(B44+H44,N44+IF(B$3=$V44,$U44,0)))</f>
        <v>0</v>
      </c>
      <c r="X44" s="15" t="n">
        <f aca="false">IF(C44&lt;=0.005,0,MIN(C44+I44,O44+IF(C$3=$V44,$U44,0)))</f>
        <v>0</v>
      </c>
      <c r="Y44" s="15" t="n">
        <f aca="false">IF(D44&lt;=0.005,0,MIN(D44+J44,P44+IF(D$3=$V44,$U44,0)))</f>
        <v>0</v>
      </c>
      <c r="Z44" s="15" t="n">
        <f aca="false">IF(E44&lt;=0.005,0,MIN(E44+K44,Q44+IF(E$3=$V44,$U44,0)))</f>
        <v>0</v>
      </c>
      <c r="AA44" s="15" t="n">
        <f aca="false">IF(F44&lt;=0.005,0,MIN(F44+L44,R44+IF(F$3=$V44,$U44,0)))</f>
        <v>0</v>
      </c>
      <c r="AB44" s="15" t="n">
        <f aca="false">IF(G44&lt;=0.005,0,MIN(G44+M44,S44+IF(G$3=$V44,$U44,0)))</f>
        <v>0</v>
      </c>
      <c r="AC44" s="15" t="n">
        <f aca="false">MAX(0,B44+H44-W44)</f>
        <v>0</v>
      </c>
      <c r="AD44" s="15" t="n">
        <f aca="false">MAX(0,C44+I44-X44)</f>
        <v>0</v>
      </c>
      <c r="AE44" s="15" t="n">
        <f aca="false">MAX(0,D44+J44-Y44)</f>
        <v>0</v>
      </c>
      <c r="AF44" s="15" t="n">
        <f aca="false">MAX(0,E44+K44-Z44)</f>
        <v>0</v>
      </c>
      <c r="AG44" s="15" t="n">
        <f aca="false">MAX(0,F44+L44-AA44)</f>
        <v>0</v>
      </c>
      <c r="AH44" s="15" t="n">
        <f aca="false">MAX(0,G44+M44-AB44)</f>
        <v>0</v>
      </c>
      <c r="AI44" s="15" t="n">
        <f aca="false">SUM(H44:M44)</f>
        <v>0</v>
      </c>
      <c r="AJ44" s="15" t="n">
        <f aca="false">SUM(AC44:AH44)</f>
        <v>0</v>
      </c>
    </row>
    <row r="45" customFormat="false" ht="15" hidden="false" customHeight="false" outlineLevel="0" collapsed="false">
      <c r="A45" s="0" t="n">
        <v>41</v>
      </c>
      <c r="B45" s="15" t="n">
        <f aca="false">AC44</f>
        <v>0</v>
      </c>
      <c r="C45" s="15" t="n">
        <f aca="false">AD44</f>
        <v>0</v>
      </c>
      <c r="D45" s="15" t="n">
        <f aca="false">AE44</f>
        <v>0</v>
      </c>
      <c r="E45" s="15" t="n">
        <f aca="false">AF44</f>
        <v>0</v>
      </c>
      <c r="F45" s="15" t="n">
        <f aca="false">AG44</f>
        <v>0</v>
      </c>
      <c r="G45" s="15" t="n">
        <f aca="false">AH44</f>
        <v>0</v>
      </c>
      <c r="H45" s="15" t="n">
        <f aca="false">B45*N(Debts!C7)/12</f>
        <v>0</v>
      </c>
      <c r="I45" s="15" t="n">
        <f aca="false">C45*N(Debts!C8)/12</f>
        <v>0</v>
      </c>
      <c r="J45" s="15" t="n">
        <f aca="false">D45*N(Debts!C9)/12</f>
        <v>0</v>
      </c>
      <c r="K45" s="15" t="n">
        <f aca="false">E45*N(Debts!C10)/12</f>
        <v>0</v>
      </c>
      <c r="L45" s="15" t="n">
        <f aca="false">F45*N(Debts!C11)/12</f>
        <v>0</v>
      </c>
      <c r="M45" s="15" t="n">
        <f aca="false">G45*N(Debts!C12)/12</f>
        <v>0</v>
      </c>
      <c r="N45" s="15" t="n">
        <f aca="false">MIN(B45+H45,N(Debts!D7))</f>
        <v>0</v>
      </c>
      <c r="O45" s="15" t="n">
        <f aca="false">MIN(C45+I45,N(Debts!D8))</f>
        <v>0</v>
      </c>
      <c r="P45" s="15" t="n">
        <f aca="false">MIN(D45+J45,N(Debts!D9))</f>
        <v>0</v>
      </c>
      <c r="Q45" s="15" t="n">
        <f aca="false">MIN(E45+K45,N(Debts!D10))</f>
        <v>0</v>
      </c>
      <c r="R45" s="15" t="n">
        <f aca="false">MIN(F45+L45,N(Debts!D11))</f>
        <v>0</v>
      </c>
      <c r="S45" s="15" t="n">
        <f aca="false">MIN(G45+M45,N(Debts!D12))</f>
        <v>0</v>
      </c>
      <c r="T45" s="15" t="n">
        <f aca="false">Debts!$B$14</f>
        <v>286</v>
      </c>
      <c r="U45" s="15" t="n">
        <f aca="false">MAX(0,T45-SUM(N45:S45))</f>
        <v>286</v>
      </c>
      <c r="V45" s="16" t="n">
        <f aca="false">_xlfn.MINIFS($B$3:$G$3,B45:G45,"&gt;0.005")</f>
        <v>0</v>
      </c>
      <c r="W45" s="15" t="n">
        <f aca="false">IF(B45&lt;=0.005,0,MIN(B45+H45,N45+IF(B$3=$V45,$U45,0)))</f>
        <v>0</v>
      </c>
      <c r="X45" s="15" t="n">
        <f aca="false">IF(C45&lt;=0.005,0,MIN(C45+I45,O45+IF(C$3=$V45,$U45,0)))</f>
        <v>0</v>
      </c>
      <c r="Y45" s="15" t="n">
        <f aca="false">IF(D45&lt;=0.005,0,MIN(D45+J45,P45+IF(D$3=$V45,$U45,0)))</f>
        <v>0</v>
      </c>
      <c r="Z45" s="15" t="n">
        <f aca="false">IF(E45&lt;=0.005,0,MIN(E45+K45,Q45+IF(E$3=$V45,$U45,0)))</f>
        <v>0</v>
      </c>
      <c r="AA45" s="15" t="n">
        <f aca="false">IF(F45&lt;=0.005,0,MIN(F45+L45,R45+IF(F$3=$V45,$U45,0)))</f>
        <v>0</v>
      </c>
      <c r="AB45" s="15" t="n">
        <f aca="false">IF(G45&lt;=0.005,0,MIN(G45+M45,S45+IF(G$3=$V45,$U45,0)))</f>
        <v>0</v>
      </c>
      <c r="AC45" s="15" t="n">
        <f aca="false">MAX(0,B45+H45-W45)</f>
        <v>0</v>
      </c>
      <c r="AD45" s="15" t="n">
        <f aca="false">MAX(0,C45+I45-X45)</f>
        <v>0</v>
      </c>
      <c r="AE45" s="15" t="n">
        <f aca="false">MAX(0,D45+J45-Y45)</f>
        <v>0</v>
      </c>
      <c r="AF45" s="15" t="n">
        <f aca="false">MAX(0,E45+K45-Z45)</f>
        <v>0</v>
      </c>
      <c r="AG45" s="15" t="n">
        <f aca="false">MAX(0,F45+L45-AA45)</f>
        <v>0</v>
      </c>
      <c r="AH45" s="15" t="n">
        <f aca="false">MAX(0,G45+M45-AB45)</f>
        <v>0</v>
      </c>
      <c r="AI45" s="15" t="n">
        <f aca="false">SUM(H45:M45)</f>
        <v>0</v>
      </c>
      <c r="AJ45" s="15" t="n">
        <f aca="false">SUM(AC45:AH45)</f>
        <v>0</v>
      </c>
    </row>
    <row r="46" customFormat="false" ht="15" hidden="false" customHeight="false" outlineLevel="0" collapsed="false">
      <c r="A46" s="0" t="n">
        <v>42</v>
      </c>
      <c r="B46" s="15" t="n">
        <f aca="false">AC45</f>
        <v>0</v>
      </c>
      <c r="C46" s="15" t="n">
        <f aca="false">AD45</f>
        <v>0</v>
      </c>
      <c r="D46" s="15" t="n">
        <f aca="false">AE45</f>
        <v>0</v>
      </c>
      <c r="E46" s="15" t="n">
        <f aca="false">AF45</f>
        <v>0</v>
      </c>
      <c r="F46" s="15" t="n">
        <f aca="false">AG45</f>
        <v>0</v>
      </c>
      <c r="G46" s="15" t="n">
        <f aca="false">AH45</f>
        <v>0</v>
      </c>
      <c r="H46" s="15" t="n">
        <f aca="false">B46*N(Debts!C7)/12</f>
        <v>0</v>
      </c>
      <c r="I46" s="15" t="n">
        <f aca="false">C46*N(Debts!C8)/12</f>
        <v>0</v>
      </c>
      <c r="J46" s="15" t="n">
        <f aca="false">D46*N(Debts!C9)/12</f>
        <v>0</v>
      </c>
      <c r="K46" s="15" t="n">
        <f aca="false">E46*N(Debts!C10)/12</f>
        <v>0</v>
      </c>
      <c r="L46" s="15" t="n">
        <f aca="false">F46*N(Debts!C11)/12</f>
        <v>0</v>
      </c>
      <c r="M46" s="15" t="n">
        <f aca="false">G46*N(Debts!C12)/12</f>
        <v>0</v>
      </c>
      <c r="N46" s="15" t="n">
        <f aca="false">MIN(B46+H46,N(Debts!D7))</f>
        <v>0</v>
      </c>
      <c r="O46" s="15" t="n">
        <f aca="false">MIN(C46+I46,N(Debts!D8))</f>
        <v>0</v>
      </c>
      <c r="P46" s="15" t="n">
        <f aca="false">MIN(D46+J46,N(Debts!D9))</f>
        <v>0</v>
      </c>
      <c r="Q46" s="15" t="n">
        <f aca="false">MIN(E46+K46,N(Debts!D10))</f>
        <v>0</v>
      </c>
      <c r="R46" s="15" t="n">
        <f aca="false">MIN(F46+L46,N(Debts!D11))</f>
        <v>0</v>
      </c>
      <c r="S46" s="15" t="n">
        <f aca="false">MIN(G46+M46,N(Debts!D12))</f>
        <v>0</v>
      </c>
      <c r="T46" s="15" t="n">
        <f aca="false">Debts!$B$14</f>
        <v>286</v>
      </c>
      <c r="U46" s="15" t="n">
        <f aca="false">MAX(0,T46-SUM(N46:S46))</f>
        <v>286</v>
      </c>
      <c r="V46" s="16" t="n">
        <f aca="false">_xlfn.MINIFS($B$3:$G$3,B46:G46,"&gt;0.005")</f>
        <v>0</v>
      </c>
      <c r="W46" s="15" t="n">
        <f aca="false">IF(B46&lt;=0.005,0,MIN(B46+H46,N46+IF(B$3=$V46,$U46,0)))</f>
        <v>0</v>
      </c>
      <c r="X46" s="15" t="n">
        <f aca="false">IF(C46&lt;=0.005,0,MIN(C46+I46,O46+IF(C$3=$V46,$U46,0)))</f>
        <v>0</v>
      </c>
      <c r="Y46" s="15" t="n">
        <f aca="false">IF(D46&lt;=0.005,0,MIN(D46+J46,P46+IF(D$3=$V46,$U46,0)))</f>
        <v>0</v>
      </c>
      <c r="Z46" s="15" t="n">
        <f aca="false">IF(E46&lt;=0.005,0,MIN(E46+K46,Q46+IF(E$3=$V46,$U46,0)))</f>
        <v>0</v>
      </c>
      <c r="AA46" s="15" t="n">
        <f aca="false">IF(F46&lt;=0.005,0,MIN(F46+L46,R46+IF(F$3=$V46,$U46,0)))</f>
        <v>0</v>
      </c>
      <c r="AB46" s="15" t="n">
        <f aca="false">IF(G46&lt;=0.005,0,MIN(G46+M46,S46+IF(G$3=$V46,$U46,0)))</f>
        <v>0</v>
      </c>
      <c r="AC46" s="15" t="n">
        <f aca="false">MAX(0,B46+H46-W46)</f>
        <v>0</v>
      </c>
      <c r="AD46" s="15" t="n">
        <f aca="false">MAX(0,C46+I46-X46)</f>
        <v>0</v>
      </c>
      <c r="AE46" s="15" t="n">
        <f aca="false">MAX(0,D46+J46-Y46)</f>
        <v>0</v>
      </c>
      <c r="AF46" s="15" t="n">
        <f aca="false">MAX(0,E46+K46-Z46)</f>
        <v>0</v>
      </c>
      <c r="AG46" s="15" t="n">
        <f aca="false">MAX(0,F46+L46-AA46)</f>
        <v>0</v>
      </c>
      <c r="AH46" s="15" t="n">
        <f aca="false">MAX(0,G46+M46-AB46)</f>
        <v>0</v>
      </c>
      <c r="AI46" s="15" t="n">
        <f aca="false">SUM(H46:M46)</f>
        <v>0</v>
      </c>
      <c r="AJ46" s="15" t="n">
        <f aca="false">SUM(AC46:AH46)</f>
        <v>0</v>
      </c>
    </row>
    <row r="47" customFormat="false" ht="15" hidden="false" customHeight="false" outlineLevel="0" collapsed="false">
      <c r="A47" s="0" t="n">
        <v>43</v>
      </c>
      <c r="B47" s="15" t="n">
        <f aca="false">AC46</f>
        <v>0</v>
      </c>
      <c r="C47" s="15" t="n">
        <f aca="false">AD46</f>
        <v>0</v>
      </c>
      <c r="D47" s="15" t="n">
        <f aca="false">AE46</f>
        <v>0</v>
      </c>
      <c r="E47" s="15" t="n">
        <f aca="false">AF46</f>
        <v>0</v>
      </c>
      <c r="F47" s="15" t="n">
        <f aca="false">AG46</f>
        <v>0</v>
      </c>
      <c r="G47" s="15" t="n">
        <f aca="false">AH46</f>
        <v>0</v>
      </c>
      <c r="H47" s="15" t="n">
        <f aca="false">B47*N(Debts!C7)/12</f>
        <v>0</v>
      </c>
      <c r="I47" s="15" t="n">
        <f aca="false">C47*N(Debts!C8)/12</f>
        <v>0</v>
      </c>
      <c r="J47" s="15" t="n">
        <f aca="false">D47*N(Debts!C9)/12</f>
        <v>0</v>
      </c>
      <c r="K47" s="15" t="n">
        <f aca="false">E47*N(Debts!C10)/12</f>
        <v>0</v>
      </c>
      <c r="L47" s="15" t="n">
        <f aca="false">F47*N(Debts!C11)/12</f>
        <v>0</v>
      </c>
      <c r="M47" s="15" t="n">
        <f aca="false">G47*N(Debts!C12)/12</f>
        <v>0</v>
      </c>
      <c r="N47" s="15" t="n">
        <f aca="false">MIN(B47+H47,N(Debts!D7))</f>
        <v>0</v>
      </c>
      <c r="O47" s="15" t="n">
        <f aca="false">MIN(C47+I47,N(Debts!D8))</f>
        <v>0</v>
      </c>
      <c r="P47" s="15" t="n">
        <f aca="false">MIN(D47+J47,N(Debts!D9))</f>
        <v>0</v>
      </c>
      <c r="Q47" s="15" t="n">
        <f aca="false">MIN(E47+K47,N(Debts!D10))</f>
        <v>0</v>
      </c>
      <c r="R47" s="15" t="n">
        <f aca="false">MIN(F47+L47,N(Debts!D11))</f>
        <v>0</v>
      </c>
      <c r="S47" s="15" t="n">
        <f aca="false">MIN(G47+M47,N(Debts!D12))</f>
        <v>0</v>
      </c>
      <c r="T47" s="15" t="n">
        <f aca="false">Debts!$B$14</f>
        <v>286</v>
      </c>
      <c r="U47" s="15" t="n">
        <f aca="false">MAX(0,T47-SUM(N47:S47))</f>
        <v>286</v>
      </c>
      <c r="V47" s="16" t="n">
        <f aca="false">_xlfn.MINIFS($B$3:$G$3,B47:G47,"&gt;0.005")</f>
        <v>0</v>
      </c>
      <c r="W47" s="15" t="n">
        <f aca="false">IF(B47&lt;=0.005,0,MIN(B47+H47,N47+IF(B$3=$V47,$U47,0)))</f>
        <v>0</v>
      </c>
      <c r="X47" s="15" t="n">
        <f aca="false">IF(C47&lt;=0.005,0,MIN(C47+I47,O47+IF(C$3=$V47,$U47,0)))</f>
        <v>0</v>
      </c>
      <c r="Y47" s="15" t="n">
        <f aca="false">IF(D47&lt;=0.005,0,MIN(D47+J47,P47+IF(D$3=$V47,$U47,0)))</f>
        <v>0</v>
      </c>
      <c r="Z47" s="15" t="n">
        <f aca="false">IF(E47&lt;=0.005,0,MIN(E47+K47,Q47+IF(E$3=$V47,$U47,0)))</f>
        <v>0</v>
      </c>
      <c r="AA47" s="15" t="n">
        <f aca="false">IF(F47&lt;=0.005,0,MIN(F47+L47,R47+IF(F$3=$V47,$U47,0)))</f>
        <v>0</v>
      </c>
      <c r="AB47" s="15" t="n">
        <f aca="false">IF(G47&lt;=0.005,0,MIN(G47+M47,S47+IF(G$3=$V47,$U47,0)))</f>
        <v>0</v>
      </c>
      <c r="AC47" s="15" t="n">
        <f aca="false">MAX(0,B47+H47-W47)</f>
        <v>0</v>
      </c>
      <c r="AD47" s="15" t="n">
        <f aca="false">MAX(0,C47+I47-X47)</f>
        <v>0</v>
      </c>
      <c r="AE47" s="15" t="n">
        <f aca="false">MAX(0,D47+J47-Y47)</f>
        <v>0</v>
      </c>
      <c r="AF47" s="15" t="n">
        <f aca="false">MAX(0,E47+K47-Z47)</f>
        <v>0</v>
      </c>
      <c r="AG47" s="15" t="n">
        <f aca="false">MAX(0,F47+L47-AA47)</f>
        <v>0</v>
      </c>
      <c r="AH47" s="15" t="n">
        <f aca="false">MAX(0,G47+M47-AB47)</f>
        <v>0</v>
      </c>
      <c r="AI47" s="15" t="n">
        <f aca="false">SUM(H47:M47)</f>
        <v>0</v>
      </c>
      <c r="AJ47" s="15" t="n">
        <f aca="false">SUM(AC47:AH47)</f>
        <v>0</v>
      </c>
    </row>
    <row r="48" customFormat="false" ht="15" hidden="false" customHeight="false" outlineLevel="0" collapsed="false">
      <c r="A48" s="0" t="n">
        <v>44</v>
      </c>
      <c r="B48" s="15" t="n">
        <f aca="false">AC47</f>
        <v>0</v>
      </c>
      <c r="C48" s="15" t="n">
        <f aca="false">AD47</f>
        <v>0</v>
      </c>
      <c r="D48" s="15" t="n">
        <f aca="false">AE47</f>
        <v>0</v>
      </c>
      <c r="E48" s="15" t="n">
        <f aca="false">AF47</f>
        <v>0</v>
      </c>
      <c r="F48" s="15" t="n">
        <f aca="false">AG47</f>
        <v>0</v>
      </c>
      <c r="G48" s="15" t="n">
        <f aca="false">AH47</f>
        <v>0</v>
      </c>
      <c r="H48" s="15" t="n">
        <f aca="false">B48*N(Debts!C7)/12</f>
        <v>0</v>
      </c>
      <c r="I48" s="15" t="n">
        <f aca="false">C48*N(Debts!C8)/12</f>
        <v>0</v>
      </c>
      <c r="J48" s="15" t="n">
        <f aca="false">D48*N(Debts!C9)/12</f>
        <v>0</v>
      </c>
      <c r="K48" s="15" t="n">
        <f aca="false">E48*N(Debts!C10)/12</f>
        <v>0</v>
      </c>
      <c r="L48" s="15" t="n">
        <f aca="false">F48*N(Debts!C11)/12</f>
        <v>0</v>
      </c>
      <c r="M48" s="15" t="n">
        <f aca="false">G48*N(Debts!C12)/12</f>
        <v>0</v>
      </c>
      <c r="N48" s="15" t="n">
        <f aca="false">MIN(B48+H48,N(Debts!D7))</f>
        <v>0</v>
      </c>
      <c r="O48" s="15" t="n">
        <f aca="false">MIN(C48+I48,N(Debts!D8))</f>
        <v>0</v>
      </c>
      <c r="P48" s="15" t="n">
        <f aca="false">MIN(D48+J48,N(Debts!D9))</f>
        <v>0</v>
      </c>
      <c r="Q48" s="15" t="n">
        <f aca="false">MIN(E48+K48,N(Debts!D10))</f>
        <v>0</v>
      </c>
      <c r="R48" s="15" t="n">
        <f aca="false">MIN(F48+L48,N(Debts!D11))</f>
        <v>0</v>
      </c>
      <c r="S48" s="15" t="n">
        <f aca="false">MIN(G48+M48,N(Debts!D12))</f>
        <v>0</v>
      </c>
      <c r="T48" s="15" t="n">
        <f aca="false">Debts!$B$14</f>
        <v>286</v>
      </c>
      <c r="U48" s="15" t="n">
        <f aca="false">MAX(0,T48-SUM(N48:S48))</f>
        <v>286</v>
      </c>
      <c r="V48" s="16" t="n">
        <f aca="false">_xlfn.MINIFS($B$3:$G$3,B48:G48,"&gt;0.005")</f>
        <v>0</v>
      </c>
      <c r="W48" s="15" t="n">
        <f aca="false">IF(B48&lt;=0.005,0,MIN(B48+H48,N48+IF(B$3=$V48,$U48,0)))</f>
        <v>0</v>
      </c>
      <c r="X48" s="15" t="n">
        <f aca="false">IF(C48&lt;=0.005,0,MIN(C48+I48,O48+IF(C$3=$V48,$U48,0)))</f>
        <v>0</v>
      </c>
      <c r="Y48" s="15" t="n">
        <f aca="false">IF(D48&lt;=0.005,0,MIN(D48+J48,P48+IF(D$3=$V48,$U48,0)))</f>
        <v>0</v>
      </c>
      <c r="Z48" s="15" t="n">
        <f aca="false">IF(E48&lt;=0.005,0,MIN(E48+K48,Q48+IF(E$3=$V48,$U48,0)))</f>
        <v>0</v>
      </c>
      <c r="AA48" s="15" t="n">
        <f aca="false">IF(F48&lt;=0.005,0,MIN(F48+L48,R48+IF(F$3=$V48,$U48,0)))</f>
        <v>0</v>
      </c>
      <c r="AB48" s="15" t="n">
        <f aca="false">IF(G48&lt;=0.005,0,MIN(G48+M48,S48+IF(G$3=$V48,$U48,0)))</f>
        <v>0</v>
      </c>
      <c r="AC48" s="15" t="n">
        <f aca="false">MAX(0,B48+H48-W48)</f>
        <v>0</v>
      </c>
      <c r="AD48" s="15" t="n">
        <f aca="false">MAX(0,C48+I48-X48)</f>
        <v>0</v>
      </c>
      <c r="AE48" s="15" t="n">
        <f aca="false">MAX(0,D48+J48-Y48)</f>
        <v>0</v>
      </c>
      <c r="AF48" s="15" t="n">
        <f aca="false">MAX(0,E48+K48-Z48)</f>
        <v>0</v>
      </c>
      <c r="AG48" s="15" t="n">
        <f aca="false">MAX(0,F48+L48-AA48)</f>
        <v>0</v>
      </c>
      <c r="AH48" s="15" t="n">
        <f aca="false">MAX(0,G48+M48-AB48)</f>
        <v>0</v>
      </c>
      <c r="AI48" s="15" t="n">
        <f aca="false">SUM(H48:M48)</f>
        <v>0</v>
      </c>
      <c r="AJ48" s="15" t="n">
        <f aca="false">SUM(AC48:AH48)</f>
        <v>0</v>
      </c>
    </row>
    <row r="49" customFormat="false" ht="15" hidden="false" customHeight="false" outlineLevel="0" collapsed="false">
      <c r="A49" s="0" t="n">
        <v>45</v>
      </c>
      <c r="B49" s="15" t="n">
        <f aca="false">AC48</f>
        <v>0</v>
      </c>
      <c r="C49" s="15" t="n">
        <f aca="false">AD48</f>
        <v>0</v>
      </c>
      <c r="D49" s="15" t="n">
        <f aca="false">AE48</f>
        <v>0</v>
      </c>
      <c r="E49" s="15" t="n">
        <f aca="false">AF48</f>
        <v>0</v>
      </c>
      <c r="F49" s="15" t="n">
        <f aca="false">AG48</f>
        <v>0</v>
      </c>
      <c r="G49" s="15" t="n">
        <f aca="false">AH48</f>
        <v>0</v>
      </c>
      <c r="H49" s="15" t="n">
        <f aca="false">B49*N(Debts!C7)/12</f>
        <v>0</v>
      </c>
      <c r="I49" s="15" t="n">
        <f aca="false">C49*N(Debts!C8)/12</f>
        <v>0</v>
      </c>
      <c r="J49" s="15" t="n">
        <f aca="false">D49*N(Debts!C9)/12</f>
        <v>0</v>
      </c>
      <c r="K49" s="15" t="n">
        <f aca="false">E49*N(Debts!C10)/12</f>
        <v>0</v>
      </c>
      <c r="L49" s="15" t="n">
        <f aca="false">F49*N(Debts!C11)/12</f>
        <v>0</v>
      </c>
      <c r="M49" s="15" t="n">
        <f aca="false">G49*N(Debts!C12)/12</f>
        <v>0</v>
      </c>
      <c r="N49" s="15" t="n">
        <f aca="false">MIN(B49+H49,N(Debts!D7))</f>
        <v>0</v>
      </c>
      <c r="O49" s="15" t="n">
        <f aca="false">MIN(C49+I49,N(Debts!D8))</f>
        <v>0</v>
      </c>
      <c r="P49" s="15" t="n">
        <f aca="false">MIN(D49+J49,N(Debts!D9))</f>
        <v>0</v>
      </c>
      <c r="Q49" s="15" t="n">
        <f aca="false">MIN(E49+K49,N(Debts!D10))</f>
        <v>0</v>
      </c>
      <c r="R49" s="15" t="n">
        <f aca="false">MIN(F49+L49,N(Debts!D11))</f>
        <v>0</v>
      </c>
      <c r="S49" s="15" t="n">
        <f aca="false">MIN(G49+M49,N(Debts!D12))</f>
        <v>0</v>
      </c>
      <c r="T49" s="15" t="n">
        <f aca="false">Debts!$B$14</f>
        <v>286</v>
      </c>
      <c r="U49" s="15" t="n">
        <f aca="false">MAX(0,T49-SUM(N49:S49))</f>
        <v>286</v>
      </c>
      <c r="V49" s="16" t="n">
        <f aca="false">_xlfn.MINIFS($B$3:$G$3,B49:G49,"&gt;0.005")</f>
        <v>0</v>
      </c>
      <c r="W49" s="15" t="n">
        <f aca="false">IF(B49&lt;=0.005,0,MIN(B49+H49,N49+IF(B$3=$V49,$U49,0)))</f>
        <v>0</v>
      </c>
      <c r="X49" s="15" t="n">
        <f aca="false">IF(C49&lt;=0.005,0,MIN(C49+I49,O49+IF(C$3=$V49,$U49,0)))</f>
        <v>0</v>
      </c>
      <c r="Y49" s="15" t="n">
        <f aca="false">IF(D49&lt;=0.005,0,MIN(D49+J49,P49+IF(D$3=$V49,$U49,0)))</f>
        <v>0</v>
      </c>
      <c r="Z49" s="15" t="n">
        <f aca="false">IF(E49&lt;=0.005,0,MIN(E49+K49,Q49+IF(E$3=$V49,$U49,0)))</f>
        <v>0</v>
      </c>
      <c r="AA49" s="15" t="n">
        <f aca="false">IF(F49&lt;=0.005,0,MIN(F49+L49,R49+IF(F$3=$V49,$U49,0)))</f>
        <v>0</v>
      </c>
      <c r="AB49" s="15" t="n">
        <f aca="false">IF(G49&lt;=0.005,0,MIN(G49+M49,S49+IF(G$3=$V49,$U49,0)))</f>
        <v>0</v>
      </c>
      <c r="AC49" s="15" t="n">
        <f aca="false">MAX(0,B49+H49-W49)</f>
        <v>0</v>
      </c>
      <c r="AD49" s="15" t="n">
        <f aca="false">MAX(0,C49+I49-X49)</f>
        <v>0</v>
      </c>
      <c r="AE49" s="15" t="n">
        <f aca="false">MAX(0,D49+J49-Y49)</f>
        <v>0</v>
      </c>
      <c r="AF49" s="15" t="n">
        <f aca="false">MAX(0,E49+K49-Z49)</f>
        <v>0</v>
      </c>
      <c r="AG49" s="15" t="n">
        <f aca="false">MAX(0,F49+L49-AA49)</f>
        <v>0</v>
      </c>
      <c r="AH49" s="15" t="n">
        <f aca="false">MAX(0,G49+M49-AB49)</f>
        <v>0</v>
      </c>
      <c r="AI49" s="15" t="n">
        <f aca="false">SUM(H49:M49)</f>
        <v>0</v>
      </c>
      <c r="AJ49" s="15" t="n">
        <f aca="false">SUM(AC49:AH49)</f>
        <v>0</v>
      </c>
    </row>
    <row r="50" customFormat="false" ht="15" hidden="false" customHeight="false" outlineLevel="0" collapsed="false">
      <c r="A50" s="0" t="n">
        <v>46</v>
      </c>
      <c r="B50" s="15" t="n">
        <f aca="false">AC49</f>
        <v>0</v>
      </c>
      <c r="C50" s="15" t="n">
        <f aca="false">AD49</f>
        <v>0</v>
      </c>
      <c r="D50" s="15" t="n">
        <f aca="false">AE49</f>
        <v>0</v>
      </c>
      <c r="E50" s="15" t="n">
        <f aca="false">AF49</f>
        <v>0</v>
      </c>
      <c r="F50" s="15" t="n">
        <f aca="false">AG49</f>
        <v>0</v>
      </c>
      <c r="G50" s="15" t="n">
        <f aca="false">AH49</f>
        <v>0</v>
      </c>
      <c r="H50" s="15" t="n">
        <f aca="false">B50*N(Debts!C7)/12</f>
        <v>0</v>
      </c>
      <c r="I50" s="15" t="n">
        <f aca="false">C50*N(Debts!C8)/12</f>
        <v>0</v>
      </c>
      <c r="J50" s="15" t="n">
        <f aca="false">D50*N(Debts!C9)/12</f>
        <v>0</v>
      </c>
      <c r="K50" s="15" t="n">
        <f aca="false">E50*N(Debts!C10)/12</f>
        <v>0</v>
      </c>
      <c r="L50" s="15" t="n">
        <f aca="false">F50*N(Debts!C11)/12</f>
        <v>0</v>
      </c>
      <c r="M50" s="15" t="n">
        <f aca="false">G50*N(Debts!C12)/12</f>
        <v>0</v>
      </c>
      <c r="N50" s="15" t="n">
        <f aca="false">MIN(B50+H50,N(Debts!D7))</f>
        <v>0</v>
      </c>
      <c r="O50" s="15" t="n">
        <f aca="false">MIN(C50+I50,N(Debts!D8))</f>
        <v>0</v>
      </c>
      <c r="P50" s="15" t="n">
        <f aca="false">MIN(D50+J50,N(Debts!D9))</f>
        <v>0</v>
      </c>
      <c r="Q50" s="15" t="n">
        <f aca="false">MIN(E50+K50,N(Debts!D10))</f>
        <v>0</v>
      </c>
      <c r="R50" s="15" t="n">
        <f aca="false">MIN(F50+L50,N(Debts!D11))</f>
        <v>0</v>
      </c>
      <c r="S50" s="15" t="n">
        <f aca="false">MIN(G50+M50,N(Debts!D12))</f>
        <v>0</v>
      </c>
      <c r="T50" s="15" t="n">
        <f aca="false">Debts!$B$14</f>
        <v>286</v>
      </c>
      <c r="U50" s="15" t="n">
        <f aca="false">MAX(0,T50-SUM(N50:S50))</f>
        <v>286</v>
      </c>
      <c r="V50" s="16" t="n">
        <f aca="false">_xlfn.MINIFS($B$3:$G$3,B50:G50,"&gt;0.005")</f>
        <v>0</v>
      </c>
      <c r="W50" s="15" t="n">
        <f aca="false">IF(B50&lt;=0.005,0,MIN(B50+H50,N50+IF(B$3=$V50,$U50,0)))</f>
        <v>0</v>
      </c>
      <c r="X50" s="15" t="n">
        <f aca="false">IF(C50&lt;=0.005,0,MIN(C50+I50,O50+IF(C$3=$V50,$U50,0)))</f>
        <v>0</v>
      </c>
      <c r="Y50" s="15" t="n">
        <f aca="false">IF(D50&lt;=0.005,0,MIN(D50+J50,P50+IF(D$3=$V50,$U50,0)))</f>
        <v>0</v>
      </c>
      <c r="Z50" s="15" t="n">
        <f aca="false">IF(E50&lt;=0.005,0,MIN(E50+K50,Q50+IF(E$3=$V50,$U50,0)))</f>
        <v>0</v>
      </c>
      <c r="AA50" s="15" t="n">
        <f aca="false">IF(F50&lt;=0.005,0,MIN(F50+L50,R50+IF(F$3=$V50,$U50,0)))</f>
        <v>0</v>
      </c>
      <c r="AB50" s="15" t="n">
        <f aca="false">IF(G50&lt;=0.005,0,MIN(G50+M50,S50+IF(G$3=$V50,$U50,0)))</f>
        <v>0</v>
      </c>
      <c r="AC50" s="15" t="n">
        <f aca="false">MAX(0,B50+H50-W50)</f>
        <v>0</v>
      </c>
      <c r="AD50" s="15" t="n">
        <f aca="false">MAX(0,C50+I50-X50)</f>
        <v>0</v>
      </c>
      <c r="AE50" s="15" t="n">
        <f aca="false">MAX(0,D50+J50-Y50)</f>
        <v>0</v>
      </c>
      <c r="AF50" s="15" t="n">
        <f aca="false">MAX(0,E50+K50-Z50)</f>
        <v>0</v>
      </c>
      <c r="AG50" s="15" t="n">
        <f aca="false">MAX(0,F50+L50-AA50)</f>
        <v>0</v>
      </c>
      <c r="AH50" s="15" t="n">
        <f aca="false">MAX(0,G50+M50-AB50)</f>
        <v>0</v>
      </c>
      <c r="AI50" s="15" t="n">
        <f aca="false">SUM(H50:M50)</f>
        <v>0</v>
      </c>
      <c r="AJ50" s="15" t="n">
        <f aca="false">SUM(AC50:AH50)</f>
        <v>0</v>
      </c>
    </row>
    <row r="51" customFormat="false" ht="15" hidden="false" customHeight="false" outlineLevel="0" collapsed="false">
      <c r="A51" s="0" t="n">
        <v>47</v>
      </c>
      <c r="B51" s="15" t="n">
        <f aca="false">AC50</f>
        <v>0</v>
      </c>
      <c r="C51" s="15" t="n">
        <f aca="false">AD50</f>
        <v>0</v>
      </c>
      <c r="D51" s="15" t="n">
        <f aca="false">AE50</f>
        <v>0</v>
      </c>
      <c r="E51" s="15" t="n">
        <f aca="false">AF50</f>
        <v>0</v>
      </c>
      <c r="F51" s="15" t="n">
        <f aca="false">AG50</f>
        <v>0</v>
      </c>
      <c r="G51" s="15" t="n">
        <f aca="false">AH50</f>
        <v>0</v>
      </c>
      <c r="H51" s="15" t="n">
        <f aca="false">B51*N(Debts!C7)/12</f>
        <v>0</v>
      </c>
      <c r="I51" s="15" t="n">
        <f aca="false">C51*N(Debts!C8)/12</f>
        <v>0</v>
      </c>
      <c r="J51" s="15" t="n">
        <f aca="false">D51*N(Debts!C9)/12</f>
        <v>0</v>
      </c>
      <c r="K51" s="15" t="n">
        <f aca="false">E51*N(Debts!C10)/12</f>
        <v>0</v>
      </c>
      <c r="L51" s="15" t="n">
        <f aca="false">F51*N(Debts!C11)/12</f>
        <v>0</v>
      </c>
      <c r="M51" s="15" t="n">
        <f aca="false">G51*N(Debts!C12)/12</f>
        <v>0</v>
      </c>
      <c r="N51" s="15" t="n">
        <f aca="false">MIN(B51+H51,N(Debts!D7))</f>
        <v>0</v>
      </c>
      <c r="O51" s="15" t="n">
        <f aca="false">MIN(C51+I51,N(Debts!D8))</f>
        <v>0</v>
      </c>
      <c r="P51" s="15" t="n">
        <f aca="false">MIN(D51+J51,N(Debts!D9))</f>
        <v>0</v>
      </c>
      <c r="Q51" s="15" t="n">
        <f aca="false">MIN(E51+K51,N(Debts!D10))</f>
        <v>0</v>
      </c>
      <c r="R51" s="15" t="n">
        <f aca="false">MIN(F51+L51,N(Debts!D11))</f>
        <v>0</v>
      </c>
      <c r="S51" s="15" t="n">
        <f aca="false">MIN(G51+M51,N(Debts!D12))</f>
        <v>0</v>
      </c>
      <c r="T51" s="15" t="n">
        <f aca="false">Debts!$B$14</f>
        <v>286</v>
      </c>
      <c r="U51" s="15" t="n">
        <f aca="false">MAX(0,T51-SUM(N51:S51))</f>
        <v>286</v>
      </c>
      <c r="V51" s="16" t="n">
        <f aca="false">_xlfn.MINIFS($B$3:$G$3,B51:G51,"&gt;0.005")</f>
        <v>0</v>
      </c>
      <c r="W51" s="15" t="n">
        <f aca="false">IF(B51&lt;=0.005,0,MIN(B51+H51,N51+IF(B$3=$V51,$U51,0)))</f>
        <v>0</v>
      </c>
      <c r="X51" s="15" t="n">
        <f aca="false">IF(C51&lt;=0.005,0,MIN(C51+I51,O51+IF(C$3=$V51,$U51,0)))</f>
        <v>0</v>
      </c>
      <c r="Y51" s="15" t="n">
        <f aca="false">IF(D51&lt;=0.005,0,MIN(D51+J51,P51+IF(D$3=$V51,$U51,0)))</f>
        <v>0</v>
      </c>
      <c r="Z51" s="15" t="n">
        <f aca="false">IF(E51&lt;=0.005,0,MIN(E51+K51,Q51+IF(E$3=$V51,$U51,0)))</f>
        <v>0</v>
      </c>
      <c r="AA51" s="15" t="n">
        <f aca="false">IF(F51&lt;=0.005,0,MIN(F51+L51,R51+IF(F$3=$V51,$U51,0)))</f>
        <v>0</v>
      </c>
      <c r="AB51" s="15" t="n">
        <f aca="false">IF(G51&lt;=0.005,0,MIN(G51+M51,S51+IF(G$3=$V51,$U51,0)))</f>
        <v>0</v>
      </c>
      <c r="AC51" s="15" t="n">
        <f aca="false">MAX(0,B51+H51-W51)</f>
        <v>0</v>
      </c>
      <c r="AD51" s="15" t="n">
        <f aca="false">MAX(0,C51+I51-X51)</f>
        <v>0</v>
      </c>
      <c r="AE51" s="15" t="n">
        <f aca="false">MAX(0,D51+J51-Y51)</f>
        <v>0</v>
      </c>
      <c r="AF51" s="15" t="n">
        <f aca="false">MAX(0,E51+K51-Z51)</f>
        <v>0</v>
      </c>
      <c r="AG51" s="15" t="n">
        <f aca="false">MAX(0,F51+L51-AA51)</f>
        <v>0</v>
      </c>
      <c r="AH51" s="15" t="n">
        <f aca="false">MAX(0,G51+M51-AB51)</f>
        <v>0</v>
      </c>
      <c r="AI51" s="15" t="n">
        <f aca="false">SUM(H51:M51)</f>
        <v>0</v>
      </c>
      <c r="AJ51" s="15" t="n">
        <f aca="false">SUM(AC51:AH51)</f>
        <v>0</v>
      </c>
    </row>
    <row r="52" customFormat="false" ht="15" hidden="false" customHeight="false" outlineLevel="0" collapsed="false">
      <c r="A52" s="0" t="n">
        <v>48</v>
      </c>
      <c r="B52" s="15" t="n">
        <f aca="false">AC51</f>
        <v>0</v>
      </c>
      <c r="C52" s="15" t="n">
        <f aca="false">AD51</f>
        <v>0</v>
      </c>
      <c r="D52" s="15" t="n">
        <f aca="false">AE51</f>
        <v>0</v>
      </c>
      <c r="E52" s="15" t="n">
        <f aca="false">AF51</f>
        <v>0</v>
      </c>
      <c r="F52" s="15" t="n">
        <f aca="false">AG51</f>
        <v>0</v>
      </c>
      <c r="G52" s="15" t="n">
        <f aca="false">AH51</f>
        <v>0</v>
      </c>
      <c r="H52" s="15" t="n">
        <f aca="false">B52*N(Debts!C7)/12</f>
        <v>0</v>
      </c>
      <c r="I52" s="15" t="n">
        <f aca="false">C52*N(Debts!C8)/12</f>
        <v>0</v>
      </c>
      <c r="J52" s="15" t="n">
        <f aca="false">D52*N(Debts!C9)/12</f>
        <v>0</v>
      </c>
      <c r="K52" s="15" t="n">
        <f aca="false">E52*N(Debts!C10)/12</f>
        <v>0</v>
      </c>
      <c r="L52" s="15" t="n">
        <f aca="false">F52*N(Debts!C11)/12</f>
        <v>0</v>
      </c>
      <c r="M52" s="15" t="n">
        <f aca="false">G52*N(Debts!C12)/12</f>
        <v>0</v>
      </c>
      <c r="N52" s="15" t="n">
        <f aca="false">MIN(B52+H52,N(Debts!D7))</f>
        <v>0</v>
      </c>
      <c r="O52" s="15" t="n">
        <f aca="false">MIN(C52+I52,N(Debts!D8))</f>
        <v>0</v>
      </c>
      <c r="P52" s="15" t="n">
        <f aca="false">MIN(D52+J52,N(Debts!D9))</f>
        <v>0</v>
      </c>
      <c r="Q52" s="15" t="n">
        <f aca="false">MIN(E52+K52,N(Debts!D10))</f>
        <v>0</v>
      </c>
      <c r="R52" s="15" t="n">
        <f aca="false">MIN(F52+L52,N(Debts!D11))</f>
        <v>0</v>
      </c>
      <c r="S52" s="15" t="n">
        <f aca="false">MIN(G52+M52,N(Debts!D12))</f>
        <v>0</v>
      </c>
      <c r="T52" s="15" t="n">
        <f aca="false">Debts!$B$14</f>
        <v>286</v>
      </c>
      <c r="U52" s="15" t="n">
        <f aca="false">MAX(0,T52-SUM(N52:S52))</f>
        <v>286</v>
      </c>
      <c r="V52" s="16" t="n">
        <f aca="false">_xlfn.MINIFS($B$3:$G$3,B52:G52,"&gt;0.005")</f>
        <v>0</v>
      </c>
      <c r="W52" s="15" t="n">
        <f aca="false">IF(B52&lt;=0.005,0,MIN(B52+H52,N52+IF(B$3=$V52,$U52,0)))</f>
        <v>0</v>
      </c>
      <c r="X52" s="15" t="n">
        <f aca="false">IF(C52&lt;=0.005,0,MIN(C52+I52,O52+IF(C$3=$V52,$U52,0)))</f>
        <v>0</v>
      </c>
      <c r="Y52" s="15" t="n">
        <f aca="false">IF(D52&lt;=0.005,0,MIN(D52+J52,P52+IF(D$3=$V52,$U52,0)))</f>
        <v>0</v>
      </c>
      <c r="Z52" s="15" t="n">
        <f aca="false">IF(E52&lt;=0.005,0,MIN(E52+K52,Q52+IF(E$3=$V52,$U52,0)))</f>
        <v>0</v>
      </c>
      <c r="AA52" s="15" t="n">
        <f aca="false">IF(F52&lt;=0.005,0,MIN(F52+L52,R52+IF(F$3=$V52,$U52,0)))</f>
        <v>0</v>
      </c>
      <c r="AB52" s="15" t="n">
        <f aca="false">IF(G52&lt;=0.005,0,MIN(G52+M52,S52+IF(G$3=$V52,$U52,0)))</f>
        <v>0</v>
      </c>
      <c r="AC52" s="15" t="n">
        <f aca="false">MAX(0,B52+H52-W52)</f>
        <v>0</v>
      </c>
      <c r="AD52" s="15" t="n">
        <f aca="false">MAX(0,C52+I52-X52)</f>
        <v>0</v>
      </c>
      <c r="AE52" s="15" t="n">
        <f aca="false">MAX(0,D52+J52-Y52)</f>
        <v>0</v>
      </c>
      <c r="AF52" s="15" t="n">
        <f aca="false">MAX(0,E52+K52-Z52)</f>
        <v>0</v>
      </c>
      <c r="AG52" s="15" t="n">
        <f aca="false">MAX(0,F52+L52-AA52)</f>
        <v>0</v>
      </c>
      <c r="AH52" s="15" t="n">
        <f aca="false">MAX(0,G52+M52-AB52)</f>
        <v>0</v>
      </c>
      <c r="AI52" s="15" t="n">
        <f aca="false">SUM(H52:M52)</f>
        <v>0</v>
      </c>
      <c r="AJ52" s="15" t="n">
        <f aca="false">SUM(AC52:AH52)</f>
        <v>0</v>
      </c>
    </row>
    <row r="53" customFormat="false" ht="15" hidden="false" customHeight="false" outlineLevel="0" collapsed="false">
      <c r="A53" s="0" t="n">
        <v>49</v>
      </c>
      <c r="B53" s="15" t="n">
        <f aca="false">AC52</f>
        <v>0</v>
      </c>
      <c r="C53" s="15" t="n">
        <f aca="false">AD52</f>
        <v>0</v>
      </c>
      <c r="D53" s="15" t="n">
        <f aca="false">AE52</f>
        <v>0</v>
      </c>
      <c r="E53" s="15" t="n">
        <f aca="false">AF52</f>
        <v>0</v>
      </c>
      <c r="F53" s="15" t="n">
        <f aca="false">AG52</f>
        <v>0</v>
      </c>
      <c r="G53" s="15" t="n">
        <f aca="false">AH52</f>
        <v>0</v>
      </c>
      <c r="H53" s="15" t="n">
        <f aca="false">B53*N(Debts!C7)/12</f>
        <v>0</v>
      </c>
      <c r="I53" s="15" t="n">
        <f aca="false">C53*N(Debts!C8)/12</f>
        <v>0</v>
      </c>
      <c r="J53" s="15" t="n">
        <f aca="false">D53*N(Debts!C9)/12</f>
        <v>0</v>
      </c>
      <c r="K53" s="15" t="n">
        <f aca="false">E53*N(Debts!C10)/12</f>
        <v>0</v>
      </c>
      <c r="L53" s="15" t="n">
        <f aca="false">F53*N(Debts!C11)/12</f>
        <v>0</v>
      </c>
      <c r="M53" s="15" t="n">
        <f aca="false">G53*N(Debts!C12)/12</f>
        <v>0</v>
      </c>
      <c r="N53" s="15" t="n">
        <f aca="false">MIN(B53+H53,N(Debts!D7))</f>
        <v>0</v>
      </c>
      <c r="O53" s="15" t="n">
        <f aca="false">MIN(C53+I53,N(Debts!D8))</f>
        <v>0</v>
      </c>
      <c r="P53" s="15" t="n">
        <f aca="false">MIN(D53+J53,N(Debts!D9))</f>
        <v>0</v>
      </c>
      <c r="Q53" s="15" t="n">
        <f aca="false">MIN(E53+K53,N(Debts!D10))</f>
        <v>0</v>
      </c>
      <c r="R53" s="15" t="n">
        <f aca="false">MIN(F53+L53,N(Debts!D11))</f>
        <v>0</v>
      </c>
      <c r="S53" s="15" t="n">
        <f aca="false">MIN(G53+M53,N(Debts!D12))</f>
        <v>0</v>
      </c>
      <c r="T53" s="15" t="n">
        <f aca="false">Debts!$B$14</f>
        <v>286</v>
      </c>
      <c r="U53" s="15" t="n">
        <f aca="false">MAX(0,T53-SUM(N53:S53))</f>
        <v>286</v>
      </c>
      <c r="V53" s="16" t="n">
        <f aca="false">_xlfn.MINIFS($B$3:$G$3,B53:G53,"&gt;0.005")</f>
        <v>0</v>
      </c>
      <c r="W53" s="15" t="n">
        <f aca="false">IF(B53&lt;=0.005,0,MIN(B53+H53,N53+IF(B$3=$V53,$U53,0)))</f>
        <v>0</v>
      </c>
      <c r="X53" s="15" t="n">
        <f aca="false">IF(C53&lt;=0.005,0,MIN(C53+I53,O53+IF(C$3=$V53,$U53,0)))</f>
        <v>0</v>
      </c>
      <c r="Y53" s="15" t="n">
        <f aca="false">IF(D53&lt;=0.005,0,MIN(D53+J53,P53+IF(D$3=$V53,$U53,0)))</f>
        <v>0</v>
      </c>
      <c r="Z53" s="15" t="n">
        <f aca="false">IF(E53&lt;=0.005,0,MIN(E53+K53,Q53+IF(E$3=$V53,$U53,0)))</f>
        <v>0</v>
      </c>
      <c r="AA53" s="15" t="n">
        <f aca="false">IF(F53&lt;=0.005,0,MIN(F53+L53,R53+IF(F$3=$V53,$U53,0)))</f>
        <v>0</v>
      </c>
      <c r="AB53" s="15" t="n">
        <f aca="false">IF(G53&lt;=0.005,0,MIN(G53+M53,S53+IF(G$3=$V53,$U53,0)))</f>
        <v>0</v>
      </c>
      <c r="AC53" s="15" t="n">
        <f aca="false">MAX(0,B53+H53-W53)</f>
        <v>0</v>
      </c>
      <c r="AD53" s="15" t="n">
        <f aca="false">MAX(0,C53+I53-X53)</f>
        <v>0</v>
      </c>
      <c r="AE53" s="15" t="n">
        <f aca="false">MAX(0,D53+J53-Y53)</f>
        <v>0</v>
      </c>
      <c r="AF53" s="15" t="n">
        <f aca="false">MAX(0,E53+K53-Z53)</f>
        <v>0</v>
      </c>
      <c r="AG53" s="15" t="n">
        <f aca="false">MAX(0,F53+L53-AA53)</f>
        <v>0</v>
      </c>
      <c r="AH53" s="15" t="n">
        <f aca="false">MAX(0,G53+M53-AB53)</f>
        <v>0</v>
      </c>
      <c r="AI53" s="15" t="n">
        <f aca="false">SUM(H53:M53)</f>
        <v>0</v>
      </c>
      <c r="AJ53" s="15" t="n">
        <f aca="false">SUM(AC53:AH53)</f>
        <v>0</v>
      </c>
    </row>
    <row r="54" customFormat="false" ht="15" hidden="false" customHeight="false" outlineLevel="0" collapsed="false">
      <c r="A54" s="0" t="n">
        <v>50</v>
      </c>
      <c r="B54" s="15" t="n">
        <f aca="false">AC53</f>
        <v>0</v>
      </c>
      <c r="C54" s="15" t="n">
        <f aca="false">AD53</f>
        <v>0</v>
      </c>
      <c r="D54" s="15" t="n">
        <f aca="false">AE53</f>
        <v>0</v>
      </c>
      <c r="E54" s="15" t="n">
        <f aca="false">AF53</f>
        <v>0</v>
      </c>
      <c r="F54" s="15" t="n">
        <f aca="false">AG53</f>
        <v>0</v>
      </c>
      <c r="G54" s="15" t="n">
        <f aca="false">AH53</f>
        <v>0</v>
      </c>
      <c r="H54" s="15" t="n">
        <f aca="false">B54*N(Debts!C7)/12</f>
        <v>0</v>
      </c>
      <c r="I54" s="15" t="n">
        <f aca="false">C54*N(Debts!C8)/12</f>
        <v>0</v>
      </c>
      <c r="J54" s="15" t="n">
        <f aca="false">D54*N(Debts!C9)/12</f>
        <v>0</v>
      </c>
      <c r="K54" s="15" t="n">
        <f aca="false">E54*N(Debts!C10)/12</f>
        <v>0</v>
      </c>
      <c r="L54" s="15" t="n">
        <f aca="false">F54*N(Debts!C11)/12</f>
        <v>0</v>
      </c>
      <c r="M54" s="15" t="n">
        <f aca="false">G54*N(Debts!C12)/12</f>
        <v>0</v>
      </c>
      <c r="N54" s="15" t="n">
        <f aca="false">MIN(B54+H54,N(Debts!D7))</f>
        <v>0</v>
      </c>
      <c r="O54" s="15" t="n">
        <f aca="false">MIN(C54+I54,N(Debts!D8))</f>
        <v>0</v>
      </c>
      <c r="P54" s="15" t="n">
        <f aca="false">MIN(D54+J54,N(Debts!D9))</f>
        <v>0</v>
      </c>
      <c r="Q54" s="15" t="n">
        <f aca="false">MIN(E54+K54,N(Debts!D10))</f>
        <v>0</v>
      </c>
      <c r="R54" s="15" t="n">
        <f aca="false">MIN(F54+L54,N(Debts!D11))</f>
        <v>0</v>
      </c>
      <c r="S54" s="15" t="n">
        <f aca="false">MIN(G54+M54,N(Debts!D12))</f>
        <v>0</v>
      </c>
      <c r="T54" s="15" t="n">
        <f aca="false">Debts!$B$14</f>
        <v>286</v>
      </c>
      <c r="U54" s="15" t="n">
        <f aca="false">MAX(0,T54-SUM(N54:S54))</f>
        <v>286</v>
      </c>
      <c r="V54" s="16" t="n">
        <f aca="false">_xlfn.MINIFS($B$3:$G$3,B54:G54,"&gt;0.005")</f>
        <v>0</v>
      </c>
      <c r="W54" s="15" t="n">
        <f aca="false">IF(B54&lt;=0.005,0,MIN(B54+H54,N54+IF(B$3=$V54,$U54,0)))</f>
        <v>0</v>
      </c>
      <c r="X54" s="15" t="n">
        <f aca="false">IF(C54&lt;=0.005,0,MIN(C54+I54,O54+IF(C$3=$V54,$U54,0)))</f>
        <v>0</v>
      </c>
      <c r="Y54" s="15" t="n">
        <f aca="false">IF(D54&lt;=0.005,0,MIN(D54+J54,P54+IF(D$3=$V54,$U54,0)))</f>
        <v>0</v>
      </c>
      <c r="Z54" s="15" t="n">
        <f aca="false">IF(E54&lt;=0.005,0,MIN(E54+K54,Q54+IF(E$3=$V54,$U54,0)))</f>
        <v>0</v>
      </c>
      <c r="AA54" s="15" t="n">
        <f aca="false">IF(F54&lt;=0.005,0,MIN(F54+L54,R54+IF(F$3=$V54,$U54,0)))</f>
        <v>0</v>
      </c>
      <c r="AB54" s="15" t="n">
        <f aca="false">IF(G54&lt;=0.005,0,MIN(G54+M54,S54+IF(G$3=$V54,$U54,0)))</f>
        <v>0</v>
      </c>
      <c r="AC54" s="15" t="n">
        <f aca="false">MAX(0,B54+H54-W54)</f>
        <v>0</v>
      </c>
      <c r="AD54" s="15" t="n">
        <f aca="false">MAX(0,C54+I54-X54)</f>
        <v>0</v>
      </c>
      <c r="AE54" s="15" t="n">
        <f aca="false">MAX(0,D54+J54-Y54)</f>
        <v>0</v>
      </c>
      <c r="AF54" s="15" t="n">
        <f aca="false">MAX(0,E54+K54-Z54)</f>
        <v>0</v>
      </c>
      <c r="AG54" s="15" t="n">
        <f aca="false">MAX(0,F54+L54-AA54)</f>
        <v>0</v>
      </c>
      <c r="AH54" s="15" t="n">
        <f aca="false">MAX(0,G54+M54-AB54)</f>
        <v>0</v>
      </c>
      <c r="AI54" s="15" t="n">
        <f aca="false">SUM(H54:M54)</f>
        <v>0</v>
      </c>
      <c r="AJ54" s="15" t="n">
        <f aca="false">SUM(AC54:AH54)</f>
        <v>0</v>
      </c>
    </row>
    <row r="55" customFormat="false" ht="15" hidden="false" customHeight="false" outlineLevel="0" collapsed="false">
      <c r="A55" s="0" t="n">
        <v>51</v>
      </c>
      <c r="B55" s="15" t="n">
        <f aca="false">AC54</f>
        <v>0</v>
      </c>
      <c r="C55" s="15" t="n">
        <f aca="false">AD54</f>
        <v>0</v>
      </c>
      <c r="D55" s="15" t="n">
        <f aca="false">AE54</f>
        <v>0</v>
      </c>
      <c r="E55" s="15" t="n">
        <f aca="false">AF54</f>
        <v>0</v>
      </c>
      <c r="F55" s="15" t="n">
        <f aca="false">AG54</f>
        <v>0</v>
      </c>
      <c r="G55" s="15" t="n">
        <f aca="false">AH54</f>
        <v>0</v>
      </c>
      <c r="H55" s="15" t="n">
        <f aca="false">B55*N(Debts!C7)/12</f>
        <v>0</v>
      </c>
      <c r="I55" s="15" t="n">
        <f aca="false">C55*N(Debts!C8)/12</f>
        <v>0</v>
      </c>
      <c r="J55" s="15" t="n">
        <f aca="false">D55*N(Debts!C9)/12</f>
        <v>0</v>
      </c>
      <c r="K55" s="15" t="n">
        <f aca="false">E55*N(Debts!C10)/12</f>
        <v>0</v>
      </c>
      <c r="L55" s="15" t="n">
        <f aca="false">F55*N(Debts!C11)/12</f>
        <v>0</v>
      </c>
      <c r="M55" s="15" t="n">
        <f aca="false">G55*N(Debts!C12)/12</f>
        <v>0</v>
      </c>
      <c r="N55" s="15" t="n">
        <f aca="false">MIN(B55+H55,N(Debts!D7))</f>
        <v>0</v>
      </c>
      <c r="O55" s="15" t="n">
        <f aca="false">MIN(C55+I55,N(Debts!D8))</f>
        <v>0</v>
      </c>
      <c r="P55" s="15" t="n">
        <f aca="false">MIN(D55+J55,N(Debts!D9))</f>
        <v>0</v>
      </c>
      <c r="Q55" s="15" t="n">
        <f aca="false">MIN(E55+K55,N(Debts!D10))</f>
        <v>0</v>
      </c>
      <c r="R55" s="15" t="n">
        <f aca="false">MIN(F55+L55,N(Debts!D11))</f>
        <v>0</v>
      </c>
      <c r="S55" s="15" t="n">
        <f aca="false">MIN(G55+M55,N(Debts!D12))</f>
        <v>0</v>
      </c>
      <c r="T55" s="15" t="n">
        <f aca="false">Debts!$B$14</f>
        <v>286</v>
      </c>
      <c r="U55" s="15" t="n">
        <f aca="false">MAX(0,T55-SUM(N55:S55))</f>
        <v>286</v>
      </c>
      <c r="V55" s="16" t="n">
        <f aca="false">_xlfn.MINIFS($B$3:$G$3,B55:G55,"&gt;0.005")</f>
        <v>0</v>
      </c>
      <c r="W55" s="15" t="n">
        <f aca="false">IF(B55&lt;=0.005,0,MIN(B55+H55,N55+IF(B$3=$V55,$U55,0)))</f>
        <v>0</v>
      </c>
      <c r="X55" s="15" t="n">
        <f aca="false">IF(C55&lt;=0.005,0,MIN(C55+I55,O55+IF(C$3=$V55,$U55,0)))</f>
        <v>0</v>
      </c>
      <c r="Y55" s="15" t="n">
        <f aca="false">IF(D55&lt;=0.005,0,MIN(D55+J55,P55+IF(D$3=$V55,$U55,0)))</f>
        <v>0</v>
      </c>
      <c r="Z55" s="15" t="n">
        <f aca="false">IF(E55&lt;=0.005,0,MIN(E55+K55,Q55+IF(E$3=$V55,$U55,0)))</f>
        <v>0</v>
      </c>
      <c r="AA55" s="15" t="n">
        <f aca="false">IF(F55&lt;=0.005,0,MIN(F55+L55,R55+IF(F$3=$V55,$U55,0)))</f>
        <v>0</v>
      </c>
      <c r="AB55" s="15" t="n">
        <f aca="false">IF(G55&lt;=0.005,0,MIN(G55+M55,S55+IF(G$3=$V55,$U55,0)))</f>
        <v>0</v>
      </c>
      <c r="AC55" s="15" t="n">
        <f aca="false">MAX(0,B55+H55-W55)</f>
        <v>0</v>
      </c>
      <c r="AD55" s="15" t="n">
        <f aca="false">MAX(0,C55+I55-X55)</f>
        <v>0</v>
      </c>
      <c r="AE55" s="15" t="n">
        <f aca="false">MAX(0,D55+J55-Y55)</f>
        <v>0</v>
      </c>
      <c r="AF55" s="15" t="n">
        <f aca="false">MAX(0,E55+K55-Z55)</f>
        <v>0</v>
      </c>
      <c r="AG55" s="15" t="n">
        <f aca="false">MAX(0,F55+L55-AA55)</f>
        <v>0</v>
      </c>
      <c r="AH55" s="15" t="n">
        <f aca="false">MAX(0,G55+M55-AB55)</f>
        <v>0</v>
      </c>
      <c r="AI55" s="15" t="n">
        <f aca="false">SUM(H55:M55)</f>
        <v>0</v>
      </c>
      <c r="AJ55" s="15" t="n">
        <f aca="false">SUM(AC55:AH55)</f>
        <v>0</v>
      </c>
    </row>
    <row r="56" customFormat="false" ht="15" hidden="false" customHeight="false" outlineLevel="0" collapsed="false">
      <c r="A56" s="0" t="n">
        <v>52</v>
      </c>
      <c r="B56" s="15" t="n">
        <f aca="false">AC55</f>
        <v>0</v>
      </c>
      <c r="C56" s="15" t="n">
        <f aca="false">AD55</f>
        <v>0</v>
      </c>
      <c r="D56" s="15" t="n">
        <f aca="false">AE55</f>
        <v>0</v>
      </c>
      <c r="E56" s="15" t="n">
        <f aca="false">AF55</f>
        <v>0</v>
      </c>
      <c r="F56" s="15" t="n">
        <f aca="false">AG55</f>
        <v>0</v>
      </c>
      <c r="G56" s="15" t="n">
        <f aca="false">AH55</f>
        <v>0</v>
      </c>
      <c r="H56" s="15" t="n">
        <f aca="false">B56*N(Debts!C7)/12</f>
        <v>0</v>
      </c>
      <c r="I56" s="15" t="n">
        <f aca="false">C56*N(Debts!C8)/12</f>
        <v>0</v>
      </c>
      <c r="J56" s="15" t="n">
        <f aca="false">D56*N(Debts!C9)/12</f>
        <v>0</v>
      </c>
      <c r="K56" s="15" t="n">
        <f aca="false">E56*N(Debts!C10)/12</f>
        <v>0</v>
      </c>
      <c r="L56" s="15" t="n">
        <f aca="false">F56*N(Debts!C11)/12</f>
        <v>0</v>
      </c>
      <c r="M56" s="15" t="n">
        <f aca="false">G56*N(Debts!C12)/12</f>
        <v>0</v>
      </c>
      <c r="N56" s="15" t="n">
        <f aca="false">MIN(B56+H56,N(Debts!D7))</f>
        <v>0</v>
      </c>
      <c r="O56" s="15" t="n">
        <f aca="false">MIN(C56+I56,N(Debts!D8))</f>
        <v>0</v>
      </c>
      <c r="P56" s="15" t="n">
        <f aca="false">MIN(D56+J56,N(Debts!D9))</f>
        <v>0</v>
      </c>
      <c r="Q56" s="15" t="n">
        <f aca="false">MIN(E56+K56,N(Debts!D10))</f>
        <v>0</v>
      </c>
      <c r="R56" s="15" t="n">
        <f aca="false">MIN(F56+L56,N(Debts!D11))</f>
        <v>0</v>
      </c>
      <c r="S56" s="15" t="n">
        <f aca="false">MIN(G56+M56,N(Debts!D12))</f>
        <v>0</v>
      </c>
      <c r="T56" s="15" t="n">
        <f aca="false">Debts!$B$14</f>
        <v>286</v>
      </c>
      <c r="U56" s="15" t="n">
        <f aca="false">MAX(0,T56-SUM(N56:S56))</f>
        <v>286</v>
      </c>
      <c r="V56" s="16" t="n">
        <f aca="false">_xlfn.MINIFS($B$3:$G$3,B56:G56,"&gt;0.005")</f>
        <v>0</v>
      </c>
      <c r="W56" s="15" t="n">
        <f aca="false">IF(B56&lt;=0.005,0,MIN(B56+H56,N56+IF(B$3=$V56,$U56,0)))</f>
        <v>0</v>
      </c>
      <c r="X56" s="15" t="n">
        <f aca="false">IF(C56&lt;=0.005,0,MIN(C56+I56,O56+IF(C$3=$V56,$U56,0)))</f>
        <v>0</v>
      </c>
      <c r="Y56" s="15" t="n">
        <f aca="false">IF(D56&lt;=0.005,0,MIN(D56+J56,P56+IF(D$3=$V56,$U56,0)))</f>
        <v>0</v>
      </c>
      <c r="Z56" s="15" t="n">
        <f aca="false">IF(E56&lt;=0.005,0,MIN(E56+K56,Q56+IF(E$3=$V56,$U56,0)))</f>
        <v>0</v>
      </c>
      <c r="AA56" s="15" t="n">
        <f aca="false">IF(F56&lt;=0.005,0,MIN(F56+L56,R56+IF(F$3=$V56,$U56,0)))</f>
        <v>0</v>
      </c>
      <c r="AB56" s="15" t="n">
        <f aca="false">IF(G56&lt;=0.005,0,MIN(G56+M56,S56+IF(G$3=$V56,$U56,0)))</f>
        <v>0</v>
      </c>
      <c r="AC56" s="15" t="n">
        <f aca="false">MAX(0,B56+H56-W56)</f>
        <v>0</v>
      </c>
      <c r="AD56" s="15" t="n">
        <f aca="false">MAX(0,C56+I56-X56)</f>
        <v>0</v>
      </c>
      <c r="AE56" s="15" t="n">
        <f aca="false">MAX(0,D56+J56-Y56)</f>
        <v>0</v>
      </c>
      <c r="AF56" s="15" t="n">
        <f aca="false">MAX(0,E56+K56-Z56)</f>
        <v>0</v>
      </c>
      <c r="AG56" s="15" t="n">
        <f aca="false">MAX(0,F56+L56-AA56)</f>
        <v>0</v>
      </c>
      <c r="AH56" s="15" t="n">
        <f aca="false">MAX(0,G56+M56-AB56)</f>
        <v>0</v>
      </c>
      <c r="AI56" s="15" t="n">
        <f aca="false">SUM(H56:M56)</f>
        <v>0</v>
      </c>
      <c r="AJ56" s="15" t="n">
        <f aca="false">SUM(AC56:AH56)</f>
        <v>0</v>
      </c>
    </row>
    <row r="57" customFormat="false" ht="15" hidden="false" customHeight="false" outlineLevel="0" collapsed="false">
      <c r="A57" s="0" t="n">
        <v>53</v>
      </c>
      <c r="B57" s="15" t="n">
        <f aca="false">AC56</f>
        <v>0</v>
      </c>
      <c r="C57" s="15" t="n">
        <f aca="false">AD56</f>
        <v>0</v>
      </c>
      <c r="D57" s="15" t="n">
        <f aca="false">AE56</f>
        <v>0</v>
      </c>
      <c r="E57" s="15" t="n">
        <f aca="false">AF56</f>
        <v>0</v>
      </c>
      <c r="F57" s="15" t="n">
        <f aca="false">AG56</f>
        <v>0</v>
      </c>
      <c r="G57" s="15" t="n">
        <f aca="false">AH56</f>
        <v>0</v>
      </c>
      <c r="H57" s="15" t="n">
        <f aca="false">B57*N(Debts!C7)/12</f>
        <v>0</v>
      </c>
      <c r="I57" s="15" t="n">
        <f aca="false">C57*N(Debts!C8)/12</f>
        <v>0</v>
      </c>
      <c r="J57" s="15" t="n">
        <f aca="false">D57*N(Debts!C9)/12</f>
        <v>0</v>
      </c>
      <c r="K57" s="15" t="n">
        <f aca="false">E57*N(Debts!C10)/12</f>
        <v>0</v>
      </c>
      <c r="L57" s="15" t="n">
        <f aca="false">F57*N(Debts!C11)/12</f>
        <v>0</v>
      </c>
      <c r="M57" s="15" t="n">
        <f aca="false">G57*N(Debts!C12)/12</f>
        <v>0</v>
      </c>
      <c r="N57" s="15" t="n">
        <f aca="false">MIN(B57+H57,N(Debts!D7))</f>
        <v>0</v>
      </c>
      <c r="O57" s="15" t="n">
        <f aca="false">MIN(C57+I57,N(Debts!D8))</f>
        <v>0</v>
      </c>
      <c r="P57" s="15" t="n">
        <f aca="false">MIN(D57+J57,N(Debts!D9))</f>
        <v>0</v>
      </c>
      <c r="Q57" s="15" t="n">
        <f aca="false">MIN(E57+K57,N(Debts!D10))</f>
        <v>0</v>
      </c>
      <c r="R57" s="15" t="n">
        <f aca="false">MIN(F57+L57,N(Debts!D11))</f>
        <v>0</v>
      </c>
      <c r="S57" s="15" t="n">
        <f aca="false">MIN(G57+M57,N(Debts!D12))</f>
        <v>0</v>
      </c>
      <c r="T57" s="15" t="n">
        <f aca="false">Debts!$B$14</f>
        <v>286</v>
      </c>
      <c r="U57" s="15" t="n">
        <f aca="false">MAX(0,T57-SUM(N57:S57))</f>
        <v>286</v>
      </c>
      <c r="V57" s="16" t="n">
        <f aca="false">_xlfn.MINIFS($B$3:$G$3,B57:G57,"&gt;0.005")</f>
        <v>0</v>
      </c>
      <c r="W57" s="15" t="n">
        <f aca="false">IF(B57&lt;=0.005,0,MIN(B57+H57,N57+IF(B$3=$V57,$U57,0)))</f>
        <v>0</v>
      </c>
      <c r="X57" s="15" t="n">
        <f aca="false">IF(C57&lt;=0.005,0,MIN(C57+I57,O57+IF(C$3=$V57,$U57,0)))</f>
        <v>0</v>
      </c>
      <c r="Y57" s="15" t="n">
        <f aca="false">IF(D57&lt;=0.005,0,MIN(D57+J57,P57+IF(D$3=$V57,$U57,0)))</f>
        <v>0</v>
      </c>
      <c r="Z57" s="15" t="n">
        <f aca="false">IF(E57&lt;=0.005,0,MIN(E57+K57,Q57+IF(E$3=$V57,$U57,0)))</f>
        <v>0</v>
      </c>
      <c r="AA57" s="15" t="n">
        <f aca="false">IF(F57&lt;=0.005,0,MIN(F57+L57,R57+IF(F$3=$V57,$U57,0)))</f>
        <v>0</v>
      </c>
      <c r="AB57" s="15" t="n">
        <f aca="false">IF(G57&lt;=0.005,0,MIN(G57+M57,S57+IF(G$3=$V57,$U57,0)))</f>
        <v>0</v>
      </c>
      <c r="AC57" s="15" t="n">
        <f aca="false">MAX(0,B57+H57-W57)</f>
        <v>0</v>
      </c>
      <c r="AD57" s="15" t="n">
        <f aca="false">MAX(0,C57+I57-X57)</f>
        <v>0</v>
      </c>
      <c r="AE57" s="15" t="n">
        <f aca="false">MAX(0,D57+J57-Y57)</f>
        <v>0</v>
      </c>
      <c r="AF57" s="15" t="n">
        <f aca="false">MAX(0,E57+K57-Z57)</f>
        <v>0</v>
      </c>
      <c r="AG57" s="15" t="n">
        <f aca="false">MAX(0,F57+L57-AA57)</f>
        <v>0</v>
      </c>
      <c r="AH57" s="15" t="n">
        <f aca="false">MAX(0,G57+M57-AB57)</f>
        <v>0</v>
      </c>
      <c r="AI57" s="15" t="n">
        <f aca="false">SUM(H57:M57)</f>
        <v>0</v>
      </c>
      <c r="AJ57" s="15" t="n">
        <f aca="false">SUM(AC57:AH57)</f>
        <v>0</v>
      </c>
    </row>
    <row r="58" customFormat="false" ht="15" hidden="false" customHeight="false" outlineLevel="0" collapsed="false">
      <c r="A58" s="0" t="n">
        <v>54</v>
      </c>
      <c r="B58" s="15" t="n">
        <f aca="false">AC57</f>
        <v>0</v>
      </c>
      <c r="C58" s="15" t="n">
        <f aca="false">AD57</f>
        <v>0</v>
      </c>
      <c r="D58" s="15" t="n">
        <f aca="false">AE57</f>
        <v>0</v>
      </c>
      <c r="E58" s="15" t="n">
        <f aca="false">AF57</f>
        <v>0</v>
      </c>
      <c r="F58" s="15" t="n">
        <f aca="false">AG57</f>
        <v>0</v>
      </c>
      <c r="G58" s="15" t="n">
        <f aca="false">AH57</f>
        <v>0</v>
      </c>
      <c r="H58" s="15" t="n">
        <f aca="false">B58*N(Debts!C7)/12</f>
        <v>0</v>
      </c>
      <c r="I58" s="15" t="n">
        <f aca="false">C58*N(Debts!C8)/12</f>
        <v>0</v>
      </c>
      <c r="J58" s="15" t="n">
        <f aca="false">D58*N(Debts!C9)/12</f>
        <v>0</v>
      </c>
      <c r="K58" s="15" t="n">
        <f aca="false">E58*N(Debts!C10)/12</f>
        <v>0</v>
      </c>
      <c r="L58" s="15" t="n">
        <f aca="false">F58*N(Debts!C11)/12</f>
        <v>0</v>
      </c>
      <c r="M58" s="15" t="n">
        <f aca="false">G58*N(Debts!C12)/12</f>
        <v>0</v>
      </c>
      <c r="N58" s="15" t="n">
        <f aca="false">MIN(B58+H58,N(Debts!D7))</f>
        <v>0</v>
      </c>
      <c r="O58" s="15" t="n">
        <f aca="false">MIN(C58+I58,N(Debts!D8))</f>
        <v>0</v>
      </c>
      <c r="P58" s="15" t="n">
        <f aca="false">MIN(D58+J58,N(Debts!D9))</f>
        <v>0</v>
      </c>
      <c r="Q58" s="15" t="n">
        <f aca="false">MIN(E58+K58,N(Debts!D10))</f>
        <v>0</v>
      </c>
      <c r="R58" s="15" t="n">
        <f aca="false">MIN(F58+L58,N(Debts!D11))</f>
        <v>0</v>
      </c>
      <c r="S58" s="15" t="n">
        <f aca="false">MIN(G58+M58,N(Debts!D12))</f>
        <v>0</v>
      </c>
      <c r="T58" s="15" t="n">
        <f aca="false">Debts!$B$14</f>
        <v>286</v>
      </c>
      <c r="U58" s="15" t="n">
        <f aca="false">MAX(0,T58-SUM(N58:S58))</f>
        <v>286</v>
      </c>
      <c r="V58" s="16" t="n">
        <f aca="false">_xlfn.MINIFS($B$3:$G$3,B58:G58,"&gt;0.005")</f>
        <v>0</v>
      </c>
      <c r="W58" s="15" t="n">
        <f aca="false">IF(B58&lt;=0.005,0,MIN(B58+H58,N58+IF(B$3=$V58,$U58,0)))</f>
        <v>0</v>
      </c>
      <c r="X58" s="15" t="n">
        <f aca="false">IF(C58&lt;=0.005,0,MIN(C58+I58,O58+IF(C$3=$V58,$U58,0)))</f>
        <v>0</v>
      </c>
      <c r="Y58" s="15" t="n">
        <f aca="false">IF(D58&lt;=0.005,0,MIN(D58+J58,P58+IF(D$3=$V58,$U58,0)))</f>
        <v>0</v>
      </c>
      <c r="Z58" s="15" t="n">
        <f aca="false">IF(E58&lt;=0.005,0,MIN(E58+K58,Q58+IF(E$3=$V58,$U58,0)))</f>
        <v>0</v>
      </c>
      <c r="AA58" s="15" t="n">
        <f aca="false">IF(F58&lt;=0.005,0,MIN(F58+L58,R58+IF(F$3=$V58,$U58,0)))</f>
        <v>0</v>
      </c>
      <c r="AB58" s="15" t="n">
        <f aca="false">IF(G58&lt;=0.005,0,MIN(G58+M58,S58+IF(G$3=$V58,$U58,0)))</f>
        <v>0</v>
      </c>
      <c r="AC58" s="15" t="n">
        <f aca="false">MAX(0,B58+H58-W58)</f>
        <v>0</v>
      </c>
      <c r="AD58" s="15" t="n">
        <f aca="false">MAX(0,C58+I58-X58)</f>
        <v>0</v>
      </c>
      <c r="AE58" s="15" t="n">
        <f aca="false">MAX(0,D58+J58-Y58)</f>
        <v>0</v>
      </c>
      <c r="AF58" s="15" t="n">
        <f aca="false">MAX(0,E58+K58-Z58)</f>
        <v>0</v>
      </c>
      <c r="AG58" s="15" t="n">
        <f aca="false">MAX(0,F58+L58-AA58)</f>
        <v>0</v>
      </c>
      <c r="AH58" s="15" t="n">
        <f aca="false">MAX(0,G58+M58-AB58)</f>
        <v>0</v>
      </c>
      <c r="AI58" s="15" t="n">
        <f aca="false">SUM(H58:M58)</f>
        <v>0</v>
      </c>
      <c r="AJ58" s="15" t="n">
        <f aca="false">SUM(AC58:AH58)</f>
        <v>0</v>
      </c>
    </row>
    <row r="59" customFormat="false" ht="15" hidden="false" customHeight="false" outlineLevel="0" collapsed="false">
      <c r="A59" s="0" t="n">
        <v>55</v>
      </c>
      <c r="B59" s="15" t="n">
        <f aca="false">AC58</f>
        <v>0</v>
      </c>
      <c r="C59" s="15" t="n">
        <f aca="false">AD58</f>
        <v>0</v>
      </c>
      <c r="D59" s="15" t="n">
        <f aca="false">AE58</f>
        <v>0</v>
      </c>
      <c r="E59" s="15" t="n">
        <f aca="false">AF58</f>
        <v>0</v>
      </c>
      <c r="F59" s="15" t="n">
        <f aca="false">AG58</f>
        <v>0</v>
      </c>
      <c r="G59" s="15" t="n">
        <f aca="false">AH58</f>
        <v>0</v>
      </c>
      <c r="H59" s="15" t="n">
        <f aca="false">B59*N(Debts!C7)/12</f>
        <v>0</v>
      </c>
      <c r="I59" s="15" t="n">
        <f aca="false">C59*N(Debts!C8)/12</f>
        <v>0</v>
      </c>
      <c r="J59" s="15" t="n">
        <f aca="false">D59*N(Debts!C9)/12</f>
        <v>0</v>
      </c>
      <c r="K59" s="15" t="n">
        <f aca="false">E59*N(Debts!C10)/12</f>
        <v>0</v>
      </c>
      <c r="L59" s="15" t="n">
        <f aca="false">F59*N(Debts!C11)/12</f>
        <v>0</v>
      </c>
      <c r="M59" s="15" t="n">
        <f aca="false">G59*N(Debts!C12)/12</f>
        <v>0</v>
      </c>
      <c r="N59" s="15" t="n">
        <f aca="false">MIN(B59+H59,N(Debts!D7))</f>
        <v>0</v>
      </c>
      <c r="O59" s="15" t="n">
        <f aca="false">MIN(C59+I59,N(Debts!D8))</f>
        <v>0</v>
      </c>
      <c r="P59" s="15" t="n">
        <f aca="false">MIN(D59+J59,N(Debts!D9))</f>
        <v>0</v>
      </c>
      <c r="Q59" s="15" t="n">
        <f aca="false">MIN(E59+K59,N(Debts!D10))</f>
        <v>0</v>
      </c>
      <c r="R59" s="15" t="n">
        <f aca="false">MIN(F59+L59,N(Debts!D11))</f>
        <v>0</v>
      </c>
      <c r="S59" s="15" t="n">
        <f aca="false">MIN(G59+M59,N(Debts!D12))</f>
        <v>0</v>
      </c>
      <c r="T59" s="15" t="n">
        <f aca="false">Debts!$B$14</f>
        <v>286</v>
      </c>
      <c r="U59" s="15" t="n">
        <f aca="false">MAX(0,T59-SUM(N59:S59))</f>
        <v>286</v>
      </c>
      <c r="V59" s="16" t="n">
        <f aca="false">_xlfn.MINIFS($B$3:$G$3,B59:G59,"&gt;0.005")</f>
        <v>0</v>
      </c>
      <c r="W59" s="15" t="n">
        <f aca="false">IF(B59&lt;=0.005,0,MIN(B59+H59,N59+IF(B$3=$V59,$U59,0)))</f>
        <v>0</v>
      </c>
      <c r="X59" s="15" t="n">
        <f aca="false">IF(C59&lt;=0.005,0,MIN(C59+I59,O59+IF(C$3=$V59,$U59,0)))</f>
        <v>0</v>
      </c>
      <c r="Y59" s="15" t="n">
        <f aca="false">IF(D59&lt;=0.005,0,MIN(D59+J59,P59+IF(D$3=$V59,$U59,0)))</f>
        <v>0</v>
      </c>
      <c r="Z59" s="15" t="n">
        <f aca="false">IF(E59&lt;=0.005,0,MIN(E59+K59,Q59+IF(E$3=$V59,$U59,0)))</f>
        <v>0</v>
      </c>
      <c r="AA59" s="15" t="n">
        <f aca="false">IF(F59&lt;=0.005,0,MIN(F59+L59,R59+IF(F$3=$V59,$U59,0)))</f>
        <v>0</v>
      </c>
      <c r="AB59" s="15" t="n">
        <f aca="false">IF(G59&lt;=0.005,0,MIN(G59+M59,S59+IF(G$3=$V59,$U59,0)))</f>
        <v>0</v>
      </c>
      <c r="AC59" s="15" t="n">
        <f aca="false">MAX(0,B59+H59-W59)</f>
        <v>0</v>
      </c>
      <c r="AD59" s="15" t="n">
        <f aca="false">MAX(0,C59+I59-X59)</f>
        <v>0</v>
      </c>
      <c r="AE59" s="15" t="n">
        <f aca="false">MAX(0,D59+J59-Y59)</f>
        <v>0</v>
      </c>
      <c r="AF59" s="15" t="n">
        <f aca="false">MAX(0,E59+K59-Z59)</f>
        <v>0</v>
      </c>
      <c r="AG59" s="15" t="n">
        <f aca="false">MAX(0,F59+L59-AA59)</f>
        <v>0</v>
      </c>
      <c r="AH59" s="15" t="n">
        <f aca="false">MAX(0,G59+M59-AB59)</f>
        <v>0</v>
      </c>
      <c r="AI59" s="15" t="n">
        <f aca="false">SUM(H59:M59)</f>
        <v>0</v>
      </c>
      <c r="AJ59" s="15" t="n">
        <f aca="false">SUM(AC59:AH59)</f>
        <v>0</v>
      </c>
    </row>
    <row r="60" customFormat="false" ht="15" hidden="false" customHeight="false" outlineLevel="0" collapsed="false">
      <c r="A60" s="0" t="n">
        <v>56</v>
      </c>
      <c r="B60" s="15" t="n">
        <f aca="false">AC59</f>
        <v>0</v>
      </c>
      <c r="C60" s="15" t="n">
        <f aca="false">AD59</f>
        <v>0</v>
      </c>
      <c r="D60" s="15" t="n">
        <f aca="false">AE59</f>
        <v>0</v>
      </c>
      <c r="E60" s="15" t="n">
        <f aca="false">AF59</f>
        <v>0</v>
      </c>
      <c r="F60" s="15" t="n">
        <f aca="false">AG59</f>
        <v>0</v>
      </c>
      <c r="G60" s="15" t="n">
        <f aca="false">AH59</f>
        <v>0</v>
      </c>
      <c r="H60" s="15" t="n">
        <f aca="false">B60*N(Debts!C7)/12</f>
        <v>0</v>
      </c>
      <c r="I60" s="15" t="n">
        <f aca="false">C60*N(Debts!C8)/12</f>
        <v>0</v>
      </c>
      <c r="J60" s="15" t="n">
        <f aca="false">D60*N(Debts!C9)/12</f>
        <v>0</v>
      </c>
      <c r="K60" s="15" t="n">
        <f aca="false">E60*N(Debts!C10)/12</f>
        <v>0</v>
      </c>
      <c r="L60" s="15" t="n">
        <f aca="false">F60*N(Debts!C11)/12</f>
        <v>0</v>
      </c>
      <c r="M60" s="15" t="n">
        <f aca="false">G60*N(Debts!C12)/12</f>
        <v>0</v>
      </c>
      <c r="N60" s="15" t="n">
        <f aca="false">MIN(B60+H60,N(Debts!D7))</f>
        <v>0</v>
      </c>
      <c r="O60" s="15" t="n">
        <f aca="false">MIN(C60+I60,N(Debts!D8))</f>
        <v>0</v>
      </c>
      <c r="P60" s="15" t="n">
        <f aca="false">MIN(D60+J60,N(Debts!D9))</f>
        <v>0</v>
      </c>
      <c r="Q60" s="15" t="n">
        <f aca="false">MIN(E60+K60,N(Debts!D10))</f>
        <v>0</v>
      </c>
      <c r="R60" s="15" t="n">
        <f aca="false">MIN(F60+L60,N(Debts!D11))</f>
        <v>0</v>
      </c>
      <c r="S60" s="15" t="n">
        <f aca="false">MIN(G60+M60,N(Debts!D12))</f>
        <v>0</v>
      </c>
      <c r="T60" s="15" t="n">
        <f aca="false">Debts!$B$14</f>
        <v>286</v>
      </c>
      <c r="U60" s="15" t="n">
        <f aca="false">MAX(0,T60-SUM(N60:S60))</f>
        <v>286</v>
      </c>
      <c r="V60" s="16" t="n">
        <f aca="false">_xlfn.MINIFS($B$3:$G$3,B60:G60,"&gt;0.005")</f>
        <v>0</v>
      </c>
      <c r="W60" s="15" t="n">
        <f aca="false">IF(B60&lt;=0.005,0,MIN(B60+H60,N60+IF(B$3=$V60,$U60,0)))</f>
        <v>0</v>
      </c>
      <c r="X60" s="15" t="n">
        <f aca="false">IF(C60&lt;=0.005,0,MIN(C60+I60,O60+IF(C$3=$V60,$U60,0)))</f>
        <v>0</v>
      </c>
      <c r="Y60" s="15" t="n">
        <f aca="false">IF(D60&lt;=0.005,0,MIN(D60+J60,P60+IF(D$3=$V60,$U60,0)))</f>
        <v>0</v>
      </c>
      <c r="Z60" s="15" t="n">
        <f aca="false">IF(E60&lt;=0.005,0,MIN(E60+K60,Q60+IF(E$3=$V60,$U60,0)))</f>
        <v>0</v>
      </c>
      <c r="AA60" s="15" t="n">
        <f aca="false">IF(F60&lt;=0.005,0,MIN(F60+L60,R60+IF(F$3=$V60,$U60,0)))</f>
        <v>0</v>
      </c>
      <c r="AB60" s="15" t="n">
        <f aca="false">IF(G60&lt;=0.005,0,MIN(G60+M60,S60+IF(G$3=$V60,$U60,0)))</f>
        <v>0</v>
      </c>
      <c r="AC60" s="15" t="n">
        <f aca="false">MAX(0,B60+H60-W60)</f>
        <v>0</v>
      </c>
      <c r="AD60" s="15" t="n">
        <f aca="false">MAX(0,C60+I60-X60)</f>
        <v>0</v>
      </c>
      <c r="AE60" s="15" t="n">
        <f aca="false">MAX(0,D60+J60-Y60)</f>
        <v>0</v>
      </c>
      <c r="AF60" s="15" t="n">
        <f aca="false">MAX(0,E60+K60-Z60)</f>
        <v>0</v>
      </c>
      <c r="AG60" s="15" t="n">
        <f aca="false">MAX(0,F60+L60-AA60)</f>
        <v>0</v>
      </c>
      <c r="AH60" s="15" t="n">
        <f aca="false">MAX(0,G60+M60-AB60)</f>
        <v>0</v>
      </c>
      <c r="AI60" s="15" t="n">
        <f aca="false">SUM(H60:M60)</f>
        <v>0</v>
      </c>
      <c r="AJ60" s="15" t="n">
        <f aca="false">SUM(AC60:AH60)</f>
        <v>0</v>
      </c>
    </row>
    <row r="61" customFormat="false" ht="15" hidden="false" customHeight="false" outlineLevel="0" collapsed="false">
      <c r="A61" s="0" t="n">
        <v>57</v>
      </c>
      <c r="B61" s="15" t="n">
        <f aca="false">AC60</f>
        <v>0</v>
      </c>
      <c r="C61" s="15" t="n">
        <f aca="false">AD60</f>
        <v>0</v>
      </c>
      <c r="D61" s="15" t="n">
        <f aca="false">AE60</f>
        <v>0</v>
      </c>
      <c r="E61" s="15" t="n">
        <f aca="false">AF60</f>
        <v>0</v>
      </c>
      <c r="F61" s="15" t="n">
        <f aca="false">AG60</f>
        <v>0</v>
      </c>
      <c r="G61" s="15" t="n">
        <f aca="false">AH60</f>
        <v>0</v>
      </c>
      <c r="H61" s="15" t="n">
        <f aca="false">B61*N(Debts!C7)/12</f>
        <v>0</v>
      </c>
      <c r="I61" s="15" t="n">
        <f aca="false">C61*N(Debts!C8)/12</f>
        <v>0</v>
      </c>
      <c r="J61" s="15" t="n">
        <f aca="false">D61*N(Debts!C9)/12</f>
        <v>0</v>
      </c>
      <c r="K61" s="15" t="n">
        <f aca="false">E61*N(Debts!C10)/12</f>
        <v>0</v>
      </c>
      <c r="L61" s="15" t="n">
        <f aca="false">F61*N(Debts!C11)/12</f>
        <v>0</v>
      </c>
      <c r="M61" s="15" t="n">
        <f aca="false">G61*N(Debts!C12)/12</f>
        <v>0</v>
      </c>
      <c r="N61" s="15" t="n">
        <f aca="false">MIN(B61+H61,N(Debts!D7))</f>
        <v>0</v>
      </c>
      <c r="O61" s="15" t="n">
        <f aca="false">MIN(C61+I61,N(Debts!D8))</f>
        <v>0</v>
      </c>
      <c r="P61" s="15" t="n">
        <f aca="false">MIN(D61+J61,N(Debts!D9))</f>
        <v>0</v>
      </c>
      <c r="Q61" s="15" t="n">
        <f aca="false">MIN(E61+K61,N(Debts!D10))</f>
        <v>0</v>
      </c>
      <c r="R61" s="15" t="n">
        <f aca="false">MIN(F61+L61,N(Debts!D11))</f>
        <v>0</v>
      </c>
      <c r="S61" s="15" t="n">
        <f aca="false">MIN(G61+M61,N(Debts!D12))</f>
        <v>0</v>
      </c>
      <c r="T61" s="15" t="n">
        <f aca="false">Debts!$B$14</f>
        <v>286</v>
      </c>
      <c r="U61" s="15" t="n">
        <f aca="false">MAX(0,T61-SUM(N61:S61))</f>
        <v>286</v>
      </c>
      <c r="V61" s="16" t="n">
        <f aca="false">_xlfn.MINIFS($B$3:$G$3,B61:G61,"&gt;0.005")</f>
        <v>0</v>
      </c>
      <c r="W61" s="15" t="n">
        <f aca="false">IF(B61&lt;=0.005,0,MIN(B61+H61,N61+IF(B$3=$V61,$U61,0)))</f>
        <v>0</v>
      </c>
      <c r="X61" s="15" t="n">
        <f aca="false">IF(C61&lt;=0.005,0,MIN(C61+I61,O61+IF(C$3=$V61,$U61,0)))</f>
        <v>0</v>
      </c>
      <c r="Y61" s="15" t="n">
        <f aca="false">IF(D61&lt;=0.005,0,MIN(D61+J61,P61+IF(D$3=$V61,$U61,0)))</f>
        <v>0</v>
      </c>
      <c r="Z61" s="15" t="n">
        <f aca="false">IF(E61&lt;=0.005,0,MIN(E61+K61,Q61+IF(E$3=$V61,$U61,0)))</f>
        <v>0</v>
      </c>
      <c r="AA61" s="15" t="n">
        <f aca="false">IF(F61&lt;=0.005,0,MIN(F61+L61,R61+IF(F$3=$V61,$U61,0)))</f>
        <v>0</v>
      </c>
      <c r="AB61" s="15" t="n">
        <f aca="false">IF(G61&lt;=0.005,0,MIN(G61+M61,S61+IF(G$3=$V61,$U61,0)))</f>
        <v>0</v>
      </c>
      <c r="AC61" s="15" t="n">
        <f aca="false">MAX(0,B61+H61-W61)</f>
        <v>0</v>
      </c>
      <c r="AD61" s="15" t="n">
        <f aca="false">MAX(0,C61+I61-X61)</f>
        <v>0</v>
      </c>
      <c r="AE61" s="15" t="n">
        <f aca="false">MAX(0,D61+J61-Y61)</f>
        <v>0</v>
      </c>
      <c r="AF61" s="15" t="n">
        <f aca="false">MAX(0,E61+K61-Z61)</f>
        <v>0</v>
      </c>
      <c r="AG61" s="15" t="n">
        <f aca="false">MAX(0,F61+L61-AA61)</f>
        <v>0</v>
      </c>
      <c r="AH61" s="15" t="n">
        <f aca="false">MAX(0,G61+M61-AB61)</f>
        <v>0</v>
      </c>
      <c r="AI61" s="15" t="n">
        <f aca="false">SUM(H61:M61)</f>
        <v>0</v>
      </c>
      <c r="AJ61" s="15" t="n">
        <f aca="false">SUM(AC61:AH61)</f>
        <v>0</v>
      </c>
    </row>
    <row r="62" customFormat="false" ht="15" hidden="false" customHeight="false" outlineLevel="0" collapsed="false">
      <c r="A62" s="0" t="n">
        <v>58</v>
      </c>
      <c r="B62" s="15" t="n">
        <f aca="false">AC61</f>
        <v>0</v>
      </c>
      <c r="C62" s="15" t="n">
        <f aca="false">AD61</f>
        <v>0</v>
      </c>
      <c r="D62" s="15" t="n">
        <f aca="false">AE61</f>
        <v>0</v>
      </c>
      <c r="E62" s="15" t="n">
        <f aca="false">AF61</f>
        <v>0</v>
      </c>
      <c r="F62" s="15" t="n">
        <f aca="false">AG61</f>
        <v>0</v>
      </c>
      <c r="G62" s="15" t="n">
        <f aca="false">AH61</f>
        <v>0</v>
      </c>
      <c r="H62" s="15" t="n">
        <f aca="false">B62*N(Debts!C7)/12</f>
        <v>0</v>
      </c>
      <c r="I62" s="15" t="n">
        <f aca="false">C62*N(Debts!C8)/12</f>
        <v>0</v>
      </c>
      <c r="J62" s="15" t="n">
        <f aca="false">D62*N(Debts!C9)/12</f>
        <v>0</v>
      </c>
      <c r="K62" s="15" t="n">
        <f aca="false">E62*N(Debts!C10)/12</f>
        <v>0</v>
      </c>
      <c r="L62" s="15" t="n">
        <f aca="false">F62*N(Debts!C11)/12</f>
        <v>0</v>
      </c>
      <c r="M62" s="15" t="n">
        <f aca="false">G62*N(Debts!C12)/12</f>
        <v>0</v>
      </c>
      <c r="N62" s="15" t="n">
        <f aca="false">MIN(B62+H62,N(Debts!D7))</f>
        <v>0</v>
      </c>
      <c r="O62" s="15" t="n">
        <f aca="false">MIN(C62+I62,N(Debts!D8))</f>
        <v>0</v>
      </c>
      <c r="P62" s="15" t="n">
        <f aca="false">MIN(D62+J62,N(Debts!D9))</f>
        <v>0</v>
      </c>
      <c r="Q62" s="15" t="n">
        <f aca="false">MIN(E62+K62,N(Debts!D10))</f>
        <v>0</v>
      </c>
      <c r="R62" s="15" t="n">
        <f aca="false">MIN(F62+L62,N(Debts!D11))</f>
        <v>0</v>
      </c>
      <c r="S62" s="15" t="n">
        <f aca="false">MIN(G62+M62,N(Debts!D12))</f>
        <v>0</v>
      </c>
      <c r="T62" s="15" t="n">
        <f aca="false">Debts!$B$14</f>
        <v>286</v>
      </c>
      <c r="U62" s="15" t="n">
        <f aca="false">MAX(0,T62-SUM(N62:S62))</f>
        <v>286</v>
      </c>
      <c r="V62" s="16" t="n">
        <f aca="false">_xlfn.MINIFS($B$3:$G$3,B62:G62,"&gt;0.005")</f>
        <v>0</v>
      </c>
      <c r="W62" s="15" t="n">
        <f aca="false">IF(B62&lt;=0.005,0,MIN(B62+H62,N62+IF(B$3=$V62,$U62,0)))</f>
        <v>0</v>
      </c>
      <c r="X62" s="15" t="n">
        <f aca="false">IF(C62&lt;=0.005,0,MIN(C62+I62,O62+IF(C$3=$V62,$U62,0)))</f>
        <v>0</v>
      </c>
      <c r="Y62" s="15" t="n">
        <f aca="false">IF(D62&lt;=0.005,0,MIN(D62+J62,P62+IF(D$3=$V62,$U62,0)))</f>
        <v>0</v>
      </c>
      <c r="Z62" s="15" t="n">
        <f aca="false">IF(E62&lt;=0.005,0,MIN(E62+K62,Q62+IF(E$3=$V62,$U62,0)))</f>
        <v>0</v>
      </c>
      <c r="AA62" s="15" t="n">
        <f aca="false">IF(F62&lt;=0.005,0,MIN(F62+L62,R62+IF(F$3=$V62,$U62,0)))</f>
        <v>0</v>
      </c>
      <c r="AB62" s="15" t="n">
        <f aca="false">IF(G62&lt;=0.005,0,MIN(G62+M62,S62+IF(G$3=$V62,$U62,0)))</f>
        <v>0</v>
      </c>
      <c r="AC62" s="15" t="n">
        <f aca="false">MAX(0,B62+H62-W62)</f>
        <v>0</v>
      </c>
      <c r="AD62" s="15" t="n">
        <f aca="false">MAX(0,C62+I62-X62)</f>
        <v>0</v>
      </c>
      <c r="AE62" s="15" t="n">
        <f aca="false">MAX(0,D62+J62-Y62)</f>
        <v>0</v>
      </c>
      <c r="AF62" s="15" t="n">
        <f aca="false">MAX(0,E62+K62-Z62)</f>
        <v>0</v>
      </c>
      <c r="AG62" s="15" t="n">
        <f aca="false">MAX(0,F62+L62-AA62)</f>
        <v>0</v>
      </c>
      <c r="AH62" s="15" t="n">
        <f aca="false">MAX(0,G62+M62-AB62)</f>
        <v>0</v>
      </c>
      <c r="AI62" s="15" t="n">
        <f aca="false">SUM(H62:M62)</f>
        <v>0</v>
      </c>
      <c r="AJ62" s="15" t="n">
        <f aca="false">SUM(AC62:AH62)</f>
        <v>0</v>
      </c>
    </row>
    <row r="63" customFormat="false" ht="15" hidden="false" customHeight="false" outlineLevel="0" collapsed="false">
      <c r="A63" s="0" t="n">
        <v>59</v>
      </c>
      <c r="B63" s="15" t="n">
        <f aca="false">AC62</f>
        <v>0</v>
      </c>
      <c r="C63" s="15" t="n">
        <f aca="false">AD62</f>
        <v>0</v>
      </c>
      <c r="D63" s="15" t="n">
        <f aca="false">AE62</f>
        <v>0</v>
      </c>
      <c r="E63" s="15" t="n">
        <f aca="false">AF62</f>
        <v>0</v>
      </c>
      <c r="F63" s="15" t="n">
        <f aca="false">AG62</f>
        <v>0</v>
      </c>
      <c r="G63" s="15" t="n">
        <f aca="false">AH62</f>
        <v>0</v>
      </c>
      <c r="H63" s="15" t="n">
        <f aca="false">B63*N(Debts!C7)/12</f>
        <v>0</v>
      </c>
      <c r="I63" s="15" t="n">
        <f aca="false">C63*N(Debts!C8)/12</f>
        <v>0</v>
      </c>
      <c r="J63" s="15" t="n">
        <f aca="false">D63*N(Debts!C9)/12</f>
        <v>0</v>
      </c>
      <c r="K63" s="15" t="n">
        <f aca="false">E63*N(Debts!C10)/12</f>
        <v>0</v>
      </c>
      <c r="L63" s="15" t="n">
        <f aca="false">F63*N(Debts!C11)/12</f>
        <v>0</v>
      </c>
      <c r="M63" s="15" t="n">
        <f aca="false">G63*N(Debts!C12)/12</f>
        <v>0</v>
      </c>
      <c r="N63" s="15" t="n">
        <f aca="false">MIN(B63+H63,N(Debts!D7))</f>
        <v>0</v>
      </c>
      <c r="O63" s="15" t="n">
        <f aca="false">MIN(C63+I63,N(Debts!D8))</f>
        <v>0</v>
      </c>
      <c r="P63" s="15" t="n">
        <f aca="false">MIN(D63+J63,N(Debts!D9))</f>
        <v>0</v>
      </c>
      <c r="Q63" s="15" t="n">
        <f aca="false">MIN(E63+K63,N(Debts!D10))</f>
        <v>0</v>
      </c>
      <c r="R63" s="15" t="n">
        <f aca="false">MIN(F63+L63,N(Debts!D11))</f>
        <v>0</v>
      </c>
      <c r="S63" s="15" t="n">
        <f aca="false">MIN(G63+M63,N(Debts!D12))</f>
        <v>0</v>
      </c>
      <c r="T63" s="15" t="n">
        <f aca="false">Debts!$B$14</f>
        <v>286</v>
      </c>
      <c r="U63" s="15" t="n">
        <f aca="false">MAX(0,T63-SUM(N63:S63))</f>
        <v>286</v>
      </c>
      <c r="V63" s="16" t="n">
        <f aca="false">_xlfn.MINIFS($B$3:$G$3,B63:G63,"&gt;0.005")</f>
        <v>0</v>
      </c>
      <c r="W63" s="15" t="n">
        <f aca="false">IF(B63&lt;=0.005,0,MIN(B63+H63,N63+IF(B$3=$V63,$U63,0)))</f>
        <v>0</v>
      </c>
      <c r="X63" s="15" t="n">
        <f aca="false">IF(C63&lt;=0.005,0,MIN(C63+I63,O63+IF(C$3=$V63,$U63,0)))</f>
        <v>0</v>
      </c>
      <c r="Y63" s="15" t="n">
        <f aca="false">IF(D63&lt;=0.005,0,MIN(D63+J63,P63+IF(D$3=$V63,$U63,0)))</f>
        <v>0</v>
      </c>
      <c r="Z63" s="15" t="n">
        <f aca="false">IF(E63&lt;=0.005,0,MIN(E63+K63,Q63+IF(E$3=$V63,$U63,0)))</f>
        <v>0</v>
      </c>
      <c r="AA63" s="15" t="n">
        <f aca="false">IF(F63&lt;=0.005,0,MIN(F63+L63,R63+IF(F$3=$V63,$U63,0)))</f>
        <v>0</v>
      </c>
      <c r="AB63" s="15" t="n">
        <f aca="false">IF(G63&lt;=0.005,0,MIN(G63+M63,S63+IF(G$3=$V63,$U63,0)))</f>
        <v>0</v>
      </c>
      <c r="AC63" s="15" t="n">
        <f aca="false">MAX(0,B63+H63-W63)</f>
        <v>0</v>
      </c>
      <c r="AD63" s="15" t="n">
        <f aca="false">MAX(0,C63+I63-X63)</f>
        <v>0</v>
      </c>
      <c r="AE63" s="15" t="n">
        <f aca="false">MAX(0,D63+J63-Y63)</f>
        <v>0</v>
      </c>
      <c r="AF63" s="15" t="n">
        <f aca="false">MAX(0,E63+K63-Z63)</f>
        <v>0</v>
      </c>
      <c r="AG63" s="15" t="n">
        <f aca="false">MAX(0,F63+L63-AA63)</f>
        <v>0</v>
      </c>
      <c r="AH63" s="15" t="n">
        <f aca="false">MAX(0,G63+M63-AB63)</f>
        <v>0</v>
      </c>
      <c r="AI63" s="15" t="n">
        <f aca="false">SUM(H63:M63)</f>
        <v>0</v>
      </c>
      <c r="AJ63" s="15" t="n">
        <f aca="false">SUM(AC63:AH63)</f>
        <v>0</v>
      </c>
    </row>
    <row r="64" customFormat="false" ht="15" hidden="false" customHeight="false" outlineLevel="0" collapsed="false">
      <c r="A64" s="0" t="n">
        <v>60</v>
      </c>
      <c r="B64" s="15" t="n">
        <f aca="false">AC63</f>
        <v>0</v>
      </c>
      <c r="C64" s="15" t="n">
        <f aca="false">AD63</f>
        <v>0</v>
      </c>
      <c r="D64" s="15" t="n">
        <f aca="false">AE63</f>
        <v>0</v>
      </c>
      <c r="E64" s="15" t="n">
        <f aca="false">AF63</f>
        <v>0</v>
      </c>
      <c r="F64" s="15" t="n">
        <f aca="false">AG63</f>
        <v>0</v>
      </c>
      <c r="G64" s="15" t="n">
        <f aca="false">AH63</f>
        <v>0</v>
      </c>
      <c r="H64" s="15" t="n">
        <f aca="false">B64*N(Debts!C7)/12</f>
        <v>0</v>
      </c>
      <c r="I64" s="15" t="n">
        <f aca="false">C64*N(Debts!C8)/12</f>
        <v>0</v>
      </c>
      <c r="J64" s="15" t="n">
        <f aca="false">D64*N(Debts!C9)/12</f>
        <v>0</v>
      </c>
      <c r="K64" s="15" t="n">
        <f aca="false">E64*N(Debts!C10)/12</f>
        <v>0</v>
      </c>
      <c r="L64" s="15" t="n">
        <f aca="false">F64*N(Debts!C11)/12</f>
        <v>0</v>
      </c>
      <c r="M64" s="15" t="n">
        <f aca="false">G64*N(Debts!C12)/12</f>
        <v>0</v>
      </c>
      <c r="N64" s="15" t="n">
        <f aca="false">MIN(B64+H64,N(Debts!D7))</f>
        <v>0</v>
      </c>
      <c r="O64" s="15" t="n">
        <f aca="false">MIN(C64+I64,N(Debts!D8))</f>
        <v>0</v>
      </c>
      <c r="P64" s="15" t="n">
        <f aca="false">MIN(D64+J64,N(Debts!D9))</f>
        <v>0</v>
      </c>
      <c r="Q64" s="15" t="n">
        <f aca="false">MIN(E64+K64,N(Debts!D10))</f>
        <v>0</v>
      </c>
      <c r="R64" s="15" t="n">
        <f aca="false">MIN(F64+L64,N(Debts!D11))</f>
        <v>0</v>
      </c>
      <c r="S64" s="15" t="n">
        <f aca="false">MIN(G64+M64,N(Debts!D12))</f>
        <v>0</v>
      </c>
      <c r="T64" s="15" t="n">
        <f aca="false">Debts!$B$14</f>
        <v>286</v>
      </c>
      <c r="U64" s="15" t="n">
        <f aca="false">MAX(0,T64-SUM(N64:S64))</f>
        <v>286</v>
      </c>
      <c r="V64" s="16" t="n">
        <f aca="false">_xlfn.MINIFS($B$3:$G$3,B64:G64,"&gt;0.005")</f>
        <v>0</v>
      </c>
      <c r="W64" s="15" t="n">
        <f aca="false">IF(B64&lt;=0.005,0,MIN(B64+H64,N64+IF(B$3=$V64,$U64,0)))</f>
        <v>0</v>
      </c>
      <c r="X64" s="15" t="n">
        <f aca="false">IF(C64&lt;=0.005,0,MIN(C64+I64,O64+IF(C$3=$V64,$U64,0)))</f>
        <v>0</v>
      </c>
      <c r="Y64" s="15" t="n">
        <f aca="false">IF(D64&lt;=0.005,0,MIN(D64+J64,P64+IF(D$3=$V64,$U64,0)))</f>
        <v>0</v>
      </c>
      <c r="Z64" s="15" t="n">
        <f aca="false">IF(E64&lt;=0.005,0,MIN(E64+K64,Q64+IF(E$3=$V64,$U64,0)))</f>
        <v>0</v>
      </c>
      <c r="AA64" s="15" t="n">
        <f aca="false">IF(F64&lt;=0.005,0,MIN(F64+L64,R64+IF(F$3=$V64,$U64,0)))</f>
        <v>0</v>
      </c>
      <c r="AB64" s="15" t="n">
        <f aca="false">IF(G64&lt;=0.005,0,MIN(G64+M64,S64+IF(G$3=$V64,$U64,0)))</f>
        <v>0</v>
      </c>
      <c r="AC64" s="15" t="n">
        <f aca="false">MAX(0,B64+H64-W64)</f>
        <v>0</v>
      </c>
      <c r="AD64" s="15" t="n">
        <f aca="false">MAX(0,C64+I64-X64)</f>
        <v>0</v>
      </c>
      <c r="AE64" s="15" t="n">
        <f aca="false">MAX(0,D64+J64-Y64)</f>
        <v>0</v>
      </c>
      <c r="AF64" s="15" t="n">
        <f aca="false">MAX(0,E64+K64-Z64)</f>
        <v>0</v>
      </c>
      <c r="AG64" s="15" t="n">
        <f aca="false">MAX(0,F64+L64-AA64)</f>
        <v>0</v>
      </c>
      <c r="AH64" s="15" t="n">
        <f aca="false">MAX(0,G64+M64-AB64)</f>
        <v>0</v>
      </c>
      <c r="AI64" s="15" t="n">
        <f aca="false">SUM(H64:M64)</f>
        <v>0</v>
      </c>
      <c r="AJ64" s="15" t="n">
        <f aca="false">SUM(AC64:AH64)</f>
        <v>0</v>
      </c>
    </row>
    <row r="65" customFormat="false" ht="15" hidden="false" customHeight="false" outlineLevel="0" collapsed="false">
      <c r="A65" s="0" t="n">
        <v>61</v>
      </c>
      <c r="B65" s="15" t="n">
        <f aca="false">AC64</f>
        <v>0</v>
      </c>
      <c r="C65" s="15" t="n">
        <f aca="false">AD64</f>
        <v>0</v>
      </c>
      <c r="D65" s="15" t="n">
        <f aca="false">AE64</f>
        <v>0</v>
      </c>
      <c r="E65" s="15" t="n">
        <f aca="false">AF64</f>
        <v>0</v>
      </c>
      <c r="F65" s="15" t="n">
        <f aca="false">AG64</f>
        <v>0</v>
      </c>
      <c r="G65" s="15" t="n">
        <f aca="false">AH64</f>
        <v>0</v>
      </c>
      <c r="H65" s="15" t="n">
        <f aca="false">B65*N(Debts!C7)/12</f>
        <v>0</v>
      </c>
      <c r="I65" s="15" t="n">
        <f aca="false">C65*N(Debts!C8)/12</f>
        <v>0</v>
      </c>
      <c r="J65" s="15" t="n">
        <f aca="false">D65*N(Debts!C9)/12</f>
        <v>0</v>
      </c>
      <c r="K65" s="15" t="n">
        <f aca="false">E65*N(Debts!C10)/12</f>
        <v>0</v>
      </c>
      <c r="L65" s="15" t="n">
        <f aca="false">F65*N(Debts!C11)/12</f>
        <v>0</v>
      </c>
      <c r="M65" s="15" t="n">
        <f aca="false">G65*N(Debts!C12)/12</f>
        <v>0</v>
      </c>
      <c r="N65" s="15" t="n">
        <f aca="false">MIN(B65+H65,N(Debts!D7))</f>
        <v>0</v>
      </c>
      <c r="O65" s="15" t="n">
        <f aca="false">MIN(C65+I65,N(Debts!D8))</f>
        <v>0</v>
      </c>
      <c r="P65" s="15" t="n">
        <f aca="false">MIN(D65+J65,N(Debts!D9))</f>
        <v>0</v>
      </c>
      <c r="Q65" s="15" t="n">
        <f aca="false">MIN(E65+K65,N(Debts!D10))</f>
        <v>0</v>
      </c>
      <c r="R65" s="15" t="n">
        <f aca="false">MIN(F65+L65,N(Debts!D11))</f>
        <v>0</v>
      </c>
      <c r="S65" s="15" t="n">
        <f aca="false">MIN(G65+M65,N(Debts!D12))</f>
        <v>0</v>
      </c>
      <c r="T65" s="15" t="n">
        <f aca="false">Debts!$B$14</f>
        <v>286</v>
      </c>
      <c r="U65" s="15" t="n">
        <f aca="false">MAX(0,T65-SUM(N65:S65))</f>
        <v>286</v>
      </c>
      <c r="V65" s="16" t="n">
        <f aca="false">_xlfn.MINIFS($B$3:$G$3,B65:G65,"&gt;0.005")</f>
        <v>0</v>
      </c>
      <c r="W65" s="15" t="n">
        <f aca="false">IF(B65&lt;=0.005,0,MIN(B65+H65,N65+IF(B$3=$V65,$U65,0)))</f>
        <v>0</v>
      </c>
      <c r="X65" s="15" t="n">
        <f aca="false">IF(C65&lt;=0.005,0,MIN(C65+I65,O65+IF(C$3=$V65,$U65,0)))</f>
        <v>0</v>
      </c>
      <c r="Y65" s="15" t="n">
        <f aca="false">IF(D65&lt;=0.005,0,MIN(D65+J65,P65+IF(D$3=$V65,$U65,0)))</f>
        <v>0</v>
      </c>
      <c r="Z65" s="15" t="n">
        <f aca="false">IF(E65&lt;=0.005,0,MIN(E65+K65,Q65+IF(E$3=$V65,$U65,0)))</f>
        <v>0</v>
      </c>
      <c r="AA65" s="15" t="n">
        <f aca="false">IF(F65&lt;=0.005,0,MIN(F65+L65,R65+IF(F$3=$V65,$U65,0)))</f>
        <v>0</v>
      </c>
      <c r="AB65" s="15" t="n">
        <f aca="false">IF(G65&lt;=0.005,0,MIN(G65+M65,S65+IF(G$3=$V65,$U65,0)))</f>
        <v>0</v>
      </c>
      <c r="AC65" s="15" t="n">
        <f aca="false">MAX(0,B65+H65-W65)</f>
        <v>0</v>
      </c>
      <c r="AD65" s="15" t="n">
        <f aca="false">MAX(0,C65+I65-X65)</f>
        <v>0</v>
      </c>
      <c r="AE65" s="15" t="n">
        <f aca="false">MAX(0,D65+J65-Y65)</f>
        <v>0</v>
      </c>
      <c r="AF65" s="15" t="n">
        <f aca="false">MAX(0,E65+K65-Z65)</f>
        <v>0</v>
      </c>
      <c r="AG65" s="15" t="n">
        <f aca="false">MAX(0,F65+L65-AA65)</f>
        <v>0</v>
      </c>
      <c r="AH65" s="15" t="n">
        <f aca="false">MAX(0,G65+M65-AB65)</f>
        <v>0</v>
      </c>
      <c r="AI65" s="15" t="n">
        <f aca="false">SUM(H65:M65)</f>
        <v>0</v>
      </c>
      <c r="AJ65" s="15" t="n">
        <f aca="false">SUM(AC65:AH65)</f>
        <v>0</v>
      </c>
    </row>
    <row r="66" customFormat="false" ht="15" hidden="false" customHeight="false" outlineLevel="0" collapsed="false">
      <c r="A66" s="0" t="n">
        <v>62</v>
      </c>
      <c r="B66" s="15" t="n">
        <f aca="false">AC65</f>
        <v>0</v>
      </c>
      <c r="C66" s="15" t="n">
        <f aca="false">AD65</f>
        <v>0</v>
      </c>
      <c r="D66" s="15" t="n">
        <f aca="false">AE65</f>
        <v>0</v>
      </c>
      <c r="E66" s="15" t="n">
        <f aca="false">AF65</f>
        <v>0</v>
      </c>
      <c r="F66" s="15" t="n">
        <f aca="false">AG65</f>
        <v>0</v>
      </c>
      <c r="G66" s="15" t="n">
        <f aca="false">AH65</f>
        <v>0</v>
      </c>
      <c r="H66" s="15" t="n">
        <f aca="false">B66*N(Debts!C7)/12</f>
        <v>0</v>
      </c>
      <c r="I66" s="15" t="n">
        <f aca="false">C66*N(Debts!C8)/12</f>
        <v>0</v>
      </c>
      <c r="J66" s="15" t="n">
        <f aca="false">D66*N(Debts!C9)/12</f>
        <v>0</v>
      </c>
      <c r="K66" s="15" t="n">
        <f aca="false">E66*N(Debts!C10)/12</f>
        <v>0</v>
      </c>
      <c r="L66" s="15" t="n">
        <f aca="false">F66*N(Debts!C11)/12</f>
        <v>0</v>
      </c>
      <c r="M66" s="15" t="n">
        <f aca="false">G66*N(Debts!C12)/12</f>
        <v>0</v>
      </c>
      <c r="N66" s="15" t="n">
        <f aca="false">MIN(B66+H66,N(Debts!D7))</f>
        <v>0</v>
      </c>
      <c r="O66" s="15" t="n">
        <f aca="false">MIN(C66+I66,N(Debts!D8))</f>
        <v>0</v>
      </c>
      <c r="P66" s="15" t="n">
        <f aca="false">MIN(D66+J66,N(Debts!D9))</f>
        <v>0</v>
      </c>
      <c r="Q66" s="15" t="n">
        <f aca="false">MIN(E66+K66,N(Debts!D10))</f>
        <v>0</v>
      </c>
      <c r="R66" s="15" t="n">
        <f aca="false">MIN(F66+L66,N(Debts!D11))</f>
        <v>0</v>
      </c>
      <c r="S66" s="15" t="n">
        <f aca="false">MIN(G66+M66,N(Debts!D12))</f>
        <v>0</v>
      </c>
      <c r="T66" s="15" t="n">
        <f aca="false">Debts!$B$14</f>
        <v>286</v>
      </c>
      <c r="U66" s="15" t="n">
        <f aca="false">MAX(0,T66-SUM(N66:S66))</f>
        <v>286</v>
      </c>
      <c r="V66" s="16" t="n">
        <f aca="false">_xlfn.MINIFS($B$3:$G$3,B66:G66,"&gt;0.005")</f>
        <v>0</v>
      </c>
      <c r="W66" s="15" t="n">
        <f aca="false">IF(B66&lt;=0.005,0,MIN(B66+H66,N66+IF(B$3=$V66,$U66,0)))</f>
        <v>0</v>
      </c>
      <c r="X66" s="15" t="n">
        <f aca="false">IF(C66&lt;=0.005,0,MIN(C66+I66,O66+IF(C$3=$V66,$U66,0)))</f>
        <v>0</v>
      </c>
      <c r="Y66" s="15" t="n">
        <f aca="false">IF(D66&lt;=0.005,0,MIN(D66+J66,P66+IF(D$3=$V66,$U66,0)))</f>
        <v>0</v>
      </c>
      <c r="Z66" s="15" t="n">
        <f aca="false">IF(E66&lt;=0.005,0,MIN(E66+K66,Q66+IF(E$3=$V66,$U66,0)))</f>
        <v>0</v>
      </c>
      <c r="AA66" s="15" t="n">
        <f aca="false">IF(F66&lt;=0.005,0,MIN(F66+L66,R66+IF(F$3=$V66,$U66,0)))</f>
        <v>0</v>
      </c>
      <c r="AB66" s="15" t="n">
        <f aca="false">IF(G66&lt;=0.005,0,MIN(G66+M66,S66+IF(G$3=$V66,$U66,0)))</f>
        <v>0</v>
      </c>
      <c r="AC66" s="15" t="n">
        <f aca="false">MAX(0,B66+H66-W66)</f>
        <v>0</v>
      </c>
      <c r="AD66" s="15" t="n">
        <f aca="false">MAX(0,C66+I66-X66)</f>
        <v>0</v>
      </c>
      <c r="AE66" s="15" t="n">
        <f aca="false">MAX(0,D66+J66-Y66)</f>
        <v>0</v>
      </c>
      <c r="AF66" s="15" t="n">
        <f aca="false">MAX(0,E66+K66-Z66)</f>
        <v>0</v>
      </c>
      <c r="AG66" s="15" t="n">
        <f aca="false">MAX(0,F66+L66-AA66)</f>
        <v>0</v>
      </c>
      <c r="AH66" s="15" t="n">
        <f aca="false">MAX(0,G66+M66-AB66)</f>
        <v>0</v>
      </c>
      <c r="AI66" s="15" t="n">
        <f aca="false">SUM(H66:M66)</f>
        <v>0</v>
      </c>
      <c r="AJ66" s="15" t="n">
        <f aca="false">SUM(AC66:AH66)</f>
        <v>0</v>
      </c>
    </row>
    <row r="67" customFormat="false" ht="15" hidden="false" customHeight="false" outlineLevel="0" collapsed="false">
      <c r="A67" s="0" t="n">
        <v>63</v>
      </c>
      <c r="B67" s="15" t="n">
        <f aca="false">AC66</f>
        <v>0</v>
      </c>
      <c r="C67" s="15" t="n">
        <f aca="false">AD66</f>
        <v>0</v>
      </c>
      <c r="D67" s="15" t="n">
        <f aca="false">AE66</f>
        <v>0</v>
      </c>
      <c r="E67" s="15" t="n">
        <f aca="false">AF66</f>
        <v>0</v>
      </c>
      <c r="F67" s="15" t="n">
        <f aca="false">AG66</f>
        <v>0</v>
      </c>
      <c r="G67" s="15" t="n">
        <f aca="false">AH66</f>
        <v>0</v>
      </c>
      <c r="H67" s="15" t="n">
        <f aca="false">B67*N(Debts!C7)/12</f>
        <v>0</v>
      </c>
      <c r="I67" s="15" t="n">
        <f aca="false">C67*N(Debts!C8)/12</f>
        <v>0</v>
      </c>
      <c r="J67" s="15" t="n">
        <f aca="false">D67*N(Debts!C9)/12</f>
        <v>0</v>
      </c>
      <c r="K67" s="15" t="n">
        <f aca="false">E67*N(Debts!C10)/12</f>
        <v>0</v>
      </c>
      <c r="L67" s="15" t="n">
        <f aca="false">F67*N(Debts!C11)/12</f>
        <v>0</v>
      </c>
      <c r="M67" s="15" t="n">
        <f aca="false">G67*N(Debts!C12)/12</f>
        <v>0</v>
      </c>
      <c r="N67" s="15" t="n">
        <f aca="false">MIN(B67+H67,N(Debts!D7))</f>
        <v>0</v>
      </c>
      <c r="O67" s="15" t="n">
        <f aca="false">MIN(C67+I67,N(Debts!D8))</f>
        <v>0</v>
      </c>
      <c r="P67" s="15" t="n">
        <f aca="false">MIN(D67+J67,N(Debts!D9))</f>
        <v>0</v>
      </c>
      <c r="Q67" s="15" t="n">
        <f aca="false">MIN(E67+K67,N(Debts!D10))</f>
        <v>0</v>
      </c>
      <c r="R67" s="15" t="n">
        <f aca="false">MIN(F67+L67,N(Debts!D11))</f>
        <v>0</v>
      </c>
      <c r="S67" s="15" t="n">
        <f aca="false">MIN(G67+M67,N(Debts!D12))</f>
        <v>0</v>
      </c>
      <c r="T67" s="15" t="n">
        <f aca="false">Debts!$B$14</f>
        <v>286</v>
      </c>
      <c r="U67" s="15" t="n">
        <f aca="false">MAX(0,T67-SUM(N67:S67))</f>
        <v>286</v>
      </c>
      <c r="V67" s="16" t="n">
        <f aca="false">_xlfn.MINIFS($B$3:$G$3,B67:G67,"&gt;0.005")</f>
        <v>0</v>
      </c>
      <c r="W67" s="15" t="n">
        <f aca="false">IF(B67&lt;=0.005,0,MIN(B67+H67,N67+IF(B$3=$V67,$U67,0)))</f>
        <v>0</v>
      </c>
      <c r="X67" s="15" t="n">
        <f aca="false">IF(C67&lt;=0.005,0,MIN(C67+I67,O67+IF(C$3=$V67,$U67,0)))</f>
        <v>0</v>
      </c>
      <c r="Y67" s="15" t="n">
        <f aca="false">IF(D67&lt;=0.005,0,MIN(D67+J67,P67+IF(D$3=$V67,$U67,0)))</f>
        <v>0</v>
      </c>
      <c r="Z67" s="15" t="n">
        <f aca="false">IF(E67&lt;=0.005,0,MIN(E67+K67,Q67+IF(E$3=$V67,$U67,0)))</f>
        <v>0</v>
      </c>
      <c r="AA67" s="15" t="n">
        <f aca="false">IF(F67&lt;=0.005,0,MIN(F67+L67,R67+IF(F$3=$V67,$U67,0)))</f>
        <v>0</v>
      </c>
      <c r="AB67" s="15" t="n">
        <f aca="false">IF(G67&lt;=0.005,0,MIN(G67+M67,S67+IF(G$3=$V67,$U67,0)))</f>
        <v>0</v>
      </c>
      <c r="AC67" s="15" t="n">
        <f aca="false">MAX(0,B67+H67-W67)</f>
        <v>0</v>
      </c>
      <c r="AD67" s="15" t="n">
        <f aca="false">MAX(0,C67+I67-X67)</f>
        <v>0</v>
      </c>
      <c r="AE67" s="15" t="n">
        <f aca="false">MAX(0,D67+J67-Y67)</f>
        <v>0</v>
      </c>
      <c r="AF67" s="15" t="n">
        <f aca="false">MAX(0,E67+K67-Z67)</f>
        <v>0</v>
      </c>
      <c r="AG67" s="15" t="n">
        <f aca="false">MAX(0,F67+L67-AA67)</f>
        <v>0</v>
      </c>
      <c r="AH67" s="15" t="n">
        <f aca="false">MAX(0,G67+M67-AB67)</f>
        <v>0</v>
      </c>
      <c r="AI67" s="15" t="n">
        <f aca="false">SUM(H67:M67)</f>
        <v>0</v>
      </c>
      <c r="AJ67" s="15" t="n">
        <f aca="false">SUM(AC67:AH67)</f>
        <v>0</v>
      </c>
    </row>
    <row r="68" customFormat="false" ht="15" hidden="false" customHeight="false" outlineLevel="0" collapsed="false">
      <c r="A68" s="0" t="n">
        <v>64</v>
      </c>
      <c r="B68" s="15" t="n">
        <f aca="false">AC67</f>
        <v>0</v>
      </c>
      <c r="C68" s="15" t="n">
        <f aca="false">AD67</f>
        <v>0</v>
      </c>
      <c r="D68" s="15" t="n">
        <f aca="false">AE67</f>
        <v>0</v>
      </c>
      <c r="E68" s="15" t="n">
        <f aca="false">AF67</f>
        <v>0</v>
      </c>
      <c r="F68" s="15" t="n">
        <f aca="false">AG67</f>
        <v>0</v>
      </c>
      <c r="G68" s="15" t="n">
        <f aca="false">AH67</f>
        <v>0</v>
      </c>
      <c r="H68" s="15" t="n">
        <f aca="false">B68*N(Debts!C7)/12</f>
        <v>0</v>
      </c>
      <c r="I68" s="15" t="n">
        <f aca="false">C68*N(Debts!C8)/12</f>
        <v>0</v>
      </c>
      <c r="J68" s="15" t="n">
        <f aca="false">D68*N(Debts!C9)/12</f>
        <v>0</v>
      </c>
      <c r="K68" s="15" t="n">
        <f aca="false">E68*N(Debts!C10)/12</f>
        <v>0</v>
      </c>
      <c r="L68" s="15" t="n">
        <f aca="false">F68*N(Debts!C11)/12</f>
        <v>0</v>
      </c>
      <c r="M68" s="15" t="n">
        <f aca="false">G68*N(Debts!C12)/12</f>
        <v>0</v>
      </c>
      <c r="N68" s="15" t="n">
        <f aca="false">MIN(B68+H68,N(Debts!D7))</f>
        <v>0</v>
      </c>
      <c r="O68" s="15" t="n">
        <f aca="false">MIN(C68+I68,N(Debts!D8))</f>
        <v>0</v>
      </c>
      <c r="P68" s="15" t="n">
        <f aca="false">MIN(D68+J68,N(Debts!D9))</f>
        <v>0</v>
      </c>
      <c r="Q68" s="15" t="n">
        <f aca="false">MIN(E68+K68,N(Debts!D10))</f>
        <v>0</v>
      </c>
      <c r="R68" s="15" t="n">
        <f aca="false">MIN(F68+L68,N(Debts!D11))</f>
        <v>0</v>
      </c>
      <c r="S68" s="15" t="n">
        <f aca="false">MIN(G68+M68,N(Debts!D12))</f>
        <v>0</v>
      </c>
      <c r="T68" s="15" t="n">
        <f aca="false">Debts!$B$14</f>
        <v>286</v>
      </c>
      <c r="U68" s="15" t="n">
        <f aca="false">MAX(0,T68-SUM(N68:S68))</f>
        <v>286</v>
      </c>
      <c r="V68" s="16" t="n">
        <f aca="false">_xlfn.MINIFS($B$3:$G$3,B68:G68,"&gt;0.005")</f>
        <v>0</v>
      </c>
      <c r="W68" s="15" t="n">
        <f aca="false">IF(B68&lt;=0.005,0,MIN(B68+H68,N68+IF(B$3=$V68,$U68,0)))</f>
        <v>0</v>
      </c>
      <c r="X68" s="15" t="n">
        <f aca="false">IF(C68&lt;=0.005,0,MIN(C68+I68,O68+IF(C$3=$V68,$U68,0)))</f>
        <v>0</v>
      </c>
      <c r="Y68" s="15" t="n">
        <f aca="false">IF(D68&lt;=0.005,0,MIN(D68+J68,P68+IF(D$3=$V68,$U68,0)))</f>
        <v>0</v>
      </c>
      <c r="Z68" s="15" t="n">
        <f aca="false">IF(E68&lt;=0.005,0,MIN(E68+K68,Q68+IF(E$3=$V68,$U68,0)))</f>
        <v>0</v>
      </c>
      <c r="AA68" s="15" t="n">
        <f aca="false">IF(F68&lt;=0.005,0,MIN(F68+L68,R68+IF(F$3=$V68,$U68,0)))</f>
        <v>0</v>
      </c>
      <c r="AB68" s="15" t="n">
        <f aca="false">IF(G68&lt;=0.005,0,MIN(G68+M68,S68+IF(G$3=$V68,$U68,0)))</f>
        <v>0</v>
      </c>
      <c r="AC68" s="15" t="n">
        <f aca="false">MAX(0,B68+H68-W68)</f>
        <v>0</v>
      </c>
      <c r="AD68" s="15" t="n">
        <f aca="false">MAX(0,C68+I68-X68)</f>
        <v>0</v>
      </c>
      <c r="AE68" s="15" t="n">
        <f aca="false">MAX(0,D68+J68-Y68)</f>
        <v>0</v>
      </c>
      <c r="AF68" s="15" t="n">
        <f aca="false">MAX(0,E68+K68-Z68)</f>
        <v>0</v>
      </c>
      <c r="AG68" s="15" t="n">
        <f aca="false">MAX(0,F68+L68-AA68)</f>
        <v>0</v>
      </c>
      <c r="AH68" s="15" t="n">
        <f aca="false">MAX(0,G68+M68-AB68)</f>
        <v>0</v>
      </c>
      <c r="AI68" s="15" t="n">
        <f aca="false">SUM(H68:M68)</f>
        <v>0</v>
      </c>
      <c r="AJ68" s="15" t="n">
        <f aca="false">SUM(AC68:AH68)</f>
        <v>0</v>
      </c>
    </row>
    <row r="69" customFormat="false" ht="15" hidden="false" customHeight="false" outlineLevel="0" collapsed="false">
      <c r="A69" s="0" t="n">
        <v>65</v>
      </c>
      <c r="B69" s="15" t="n">
        <f aca="false">AC68</f>
        <v>0</v>
      </c>
      <c r="C69" s="15" t="n">
        <f aca="false">AD68</f>
        <v>0</v>
      </c>
      <c r="D69" s="15" t="n">
        <f aca="false">AE68</f>
        <v>0</v>
      </c>
      <c r="E69" s="15" t="n">
        <f aca="false">AF68</f>
        <v>0</v>
      </c>
      <c r="F69" s="15" t="n">
        <f aca="false">AG68</f>
        <v>0</v>
      </c>
      <c r="G69" s="15" t="n">
        <f aca="false">AH68</f>
        <v>0</v>
      </c>
      <c r="H69" s="15" t="n">
        <f aca="false">B69*N(Debts!C7)/12</f>
        <v>0</v>
      </c>
      <c r="I69" s="15" t="n">
        <f aca="false">C69*N(Debts!C8)/12</f>
        <v>0</v>
      </c>
      <c r="J69" s="15" t="n">
        <f aca="false">D69*N(Debts!C9)/12</f>
        <v>0</v>
      </c>
      <c r="K69" s="15" t="n">
        <f aca="false">E69*N(Debts!C10)/12</f>
        <v>0</v>
      </c>
      <c r="L69" s="15" t="n">
        <f aca="false">F69*N(Debts!C11)/12</f>
        <v>0</v>
      </c>
      <c r="M69" s="15" t="n">
        <f aca="false">G69*N(Debts!C12)/12</f>
        <v>0</v>
      </c>
      <c r="N69" s="15" t="n">
        <f aca="false">MIN(B69+H69,N(Debts!D7))</f>
        <v>0</v>
      </c>
      <c r="O69" s="15" t="n">
        <f aca="false">MIN(C69+I69,N(Debts!D8))</f>
        <v>0</v>
      </c>
      <c r="P69" s="15" t="n">
        <f aca="false">MIN(D69+J69,N(Debts!D9))</f>
        <v>0</v>
      </c>
      <c r="Q69" s="15" t="n">
        <f aca="false">MIN(E69+K69,N(Debts!D10))</f>
        <v>0</v>
      </c>
      <c r="R69" s="15" t="n">
        <f aca="false">MIN(F69+L69,N(Debts!D11))</f>
        <v>0</v>
      </c>
      <c r="S69" s="15" t="n">
        <f aca="false">MIN(G69+M69,N(Debts!D12))</f>
        <v>0</v>
      </c>
      <c r="T69" s="15" t="n">
        <f aca="false">Debts!$B$14</f>
        <v>286</v>
      </c>
      <c r="U69" s="15" t="n">
        <f aca="false">MAX(0,T69-SUM(N69:S69))</f>
        <v>286</v>
      </c>
      <c r="V69" s="16" t="n">
        <f aca="false">_xlfn.MINIFS($B$3:$G$3,B69:G69,"&gt;0.005")</f>
        <v>0</v>
      </c>
      <c r="W69" s="15" t="n">
        <f aca="false">IF(B69&lt;=0.005,0,MIN(B69+H69,N69+IF(B$3=$V69,$U69,0)))</f>
        <v>0</v>
      </c>
      <c r="X69" s="15" t="n">
        <f aca="false">IF(C69&lt;=0.005,0,MIN(C69+I69,O69+IF(C$3=$V69,$U69,0)))</f>
        <v>0</v>
      </c>
      <c r="Y69" s="15" t="n">
        <f aca="false">IF(D69&lt;=0.005,0,MIN(D69+J69,P69+IF(D$3=$V69,$U69,0)))</f>
        <v>0</v>
      </c>
      <c r="Z69" s="15" t="n">
        <f aca="false">IF(E69&lt;=0.005,0,MIN(E69+K69,Q69+IF(E$3=$V69,$U69,0)))</f>
        <v>0</v>
      </c>
      <c r="AA69" s="15" t="n">
        <f aca="false">IF(F69&lt;=0.005,0,MIN(F69+L69,R69+IF(F$3=$V69,$U69,0)))</f>
        <v>0</v>
      </c>
      <c r="AB69" s="15" t="n">
        <f aca="false">IF(G69&lt;=0.005,0,MIN(G69+M69,S69+IF(G$3=$V69,$U69,0)))</f>
        <v>0</v>
      </c>
      <c r="AC69" s="15" t="n">
        <f aca="false">MAX(0,B69+H69-W69)</f>
        <v>0</v>
      </c>
      <c r="AD69" s="15" t="n">
        <f aca="false">MAX(0,C69+I69-X69)</f>
        <v>0</v>
      </c>
      <c r="AE69" s="15" t="n">
        <f aca="false">MAX(0,D69+J69-Y69)</f>
        <v>0</v>
      </c>
      <c r="AF69" s="15" t="n">
        <f aca="false">MAX(0,E69+K69-Z69)</f>
        <v>0</v>
      </c>
      <c r="AG69" s="15" t="n">
        <f aca="false">MAX(0,F69+L69-AA69)</f>
        <v>0</v>
      </c>
      <c r="AH69" s="15" t="n">
        <f aca="false">MAX(0,G69+M69-AB69)</f>
        <v>0</v>
      </c>
      <c r="AI69" s="15" t="n">
        <f aca="false">SUM(H69:M69)</f>
        <v>0</v>
      </c>
      <c r="AJ69" s="15" t="n">
        <f aca="false">SUM(AC69:AH69)</f>
        <v>0</v>
      </c>
    </row>
    <row r="70" customFormat="false" ht="15" hidden="false" customHeight="false" outlineLevel="0" collapsed="false">
      <c r="A70" s="0" t="n">
        <v>66</v>
      </c>
      <c r="B70" s="15" t="n">
        <f aca="false">AC69</f>
        <v>0</v>
      </c>
      <c r="C70" s="15" t="n">
        <f aca="false">AD69</f>
        <v>0</v>
      </c>
      <c r="D70" s="15" t="n">
        <f aca="false">AE69</f>
        <v>0</v>
      </c>
      <c r="E70" s="15" t="n">
        <f aca="false">AF69</f>
        <v>0</v>
      </c>
      <c r="F70" s="15" t="n">
        <f aca="false">AG69</f>
        <v>0</v>
      </c>
      <c r="G70" s="15" t="n">
        <f aca="false">AH69</f>
        <v>0</v>
      </c>
      <c r="H70" s="15" t="n">
        <f aca="false">B70*N(Debts!C7)/12</f>
        <v>0</v>
      </c>
      <c r="I70" s="15" t="n">
        <f aca="false">C70*N(Debts!C8)/12</f>
        <v>0</v>
      </c>
      <c r="J70" s="15" t="n">
        <f aca="false">D70*N(Debts!C9)/12</f>
        <v>0</v>
      </c>
      <c r="K70" s="15" t="n">
        <f aca="false">E70*N(Debts!C10)/12</f>
        <v>0</v>
      </c>
      <c r="L70" s="15" t="n">
        <f aca="false">F70*N(Debts!C11)/12</f>
        <v>0</v>
      </c>
      <c r="M70" s="15" t="n">
        <f aca="false">G70*N(Debts!C12)/12</f>
        <v>0</v>
      </c>
      <c r="N70" s="15" t="n">
        <f aca="false">MIN(B70+H70,N(Debts!D7))</f>
        <v>0</v>
      </c>
      <c r="O70" s="15" t="n">
        <f aca="false">MIN(C70+I70,N(Debts!D8))</f>
        <v>0</v>
      </c>
      <c r="P70" s="15" t="n">
        <f aca="false">MIN(D70+J70,N(Debts!D9))</f>
        <v>0</v>
      </c>
      <c r="Q70" s="15" t="n">
        <f aca="false">MIN(E70+K70,N(Debts!D10))</f>
        <v>0</v>
      </c>
      <c r="R70" s="15" t="n">
        <f aca="false">MIN(F70+L70,N(Debts!D11))</f>
        <v>0</v>
      </c>
      <c r="S70" s="15" t="n">
        <f aca="false">MIN(G70+M70,N(Debts!D12))</f>
        <v>0</v>
      </c>
      <c r="T70" s="15" t="n">
        <f aca="false">Debts!$B$14</f>
        <v>286</v>
      </c>
      <c r="U70" s="15" t="n">
        <f aca="false">MAX(0,T70-SUM(N70:S70))</f>
        <v>286</v>
      </c>
      <c r="V70" s="16" t="n">
        <f aca="false">_xlfn.MINIFS($B$3:$G$3,B70:G70,"&gt;0.005")</f>
        <v>0</v>
      </c>
      <c r="W70" s="15" t="n">
        <f aca="false">IF(B70&lt;=0.005,0,MIN(B70+H70,N70+IF(B$3=$V70,$U70,0)))</f>
        <v>0</v>
      </c>
      <c r="X70" s="15" t="n">
        <f aca="false">IF(C70&lt;=0.005,0,MIN(C70+I70,O70+IF(C$3=$V70,$U70,0)))</f>
        <v>0</v>
      </c>
      <c r="Y70" s="15" t="n">
        <f aca="false">IF(D70&lt;=0.005,0,MIN(D70+J70,P70+IF(D$3=$V70,$U70,0)))</f>
        <v>0</v>
      </c>
      <c r="Z70" s="15" t="n">
        <f aca="false">IF(E70&lt;=0.005,0,MIN(E70+K70,Q70+IF(E$3=$V70,$U70,0)))</f>
        <v>0</v>
      </c>
      <c r="AA70" s="15" t="n">
        <f aca="false">IF(F70&lt;=0.005,0,MIN(F70+L70,R70+IF(F$3=$V70,$U70,0)))</f>
        <v>0</v>
      </c>
      <c r="AB70" s="15" t="n">
        <f aca="false">IF(G70&lt;=0.005,0,MIN(G70+M70,S70+IF(G$3=$V70,$U70,0)))</f>
        <v>0</v>
      </c>
      <c r="AC70" s="15" t="n">
        <f aca="false">MAX(0,B70+H70-W70)</f>
        <v>0</v>
      </c>
      <c r="AD70" s="15" t="n">
        <f aca="false">MAX(0,C70+I70-X70)</f>
        <v>0</v>
      </c>
      <c r="AE70" s="15" t="n">
        <f aca="false">MAX(0,D70+J70-Y70)</f>
        <v>0</v>
      </c>
      <c r="AF70" s="15" t="n">
        <f aca="false">MAX(0,E70+K70-Z70)</f>
        <v>0</v>
      </c>
      <c r="AG70" s="15" t="n">
        <f aca="false">MAX(0,F70+L70-AA70)</f>
        <v>0</v>
      </c>
      <c r="AH70" s="15" t="n">
        <f aca="false">MAX(0,G70+M70-AB70)</f>
        <v>0</v>
      </c>
      <c r="AI70" s="15" t="n">
        <f aca="false">SUM(H70:M70)</f>
        <v>0</v>
      </c>
      <c r="AJ70" s="15" t="n">
        <f aca="false">SUM(AC70:AH70)</f>
        <v>0</v>
      </c>
    </row>
    <row r="71" customFormat="false" ht="15" hidden="false" customHeight="false" outlineLevel="0" collapsed="false">
      <c r="A71" s="0" t="n">
        <v>67</v>
      </c>
      <c r="B71" s="15" t="n">
        <f aca="false">AC70</f>
        <v>0</v>
      </c>
      <c r="C71" s="15" t="n">
        <f aca="false">AD70</f>
        <v>0</v>
      </c>
      <c r="D71" s="15" t="n">
        <f aca="false">AE70</f>
        <v>0</v>
      </c>
      <c r="E71" s="15" t="n">
        <f aca="false">AF70</f>
        <v>0</v>
      </c>
      <c r="F71" s="15" t="n">
        <f aca="false">AG70</f>
        <v>0</v>
      </c>
      <c r="G71" s="15" t="n">
        <f aca="false">AH70</f>
        <v>0</v>
      </c>
      <c r="H71" s="15" t="n">
        <f aca="false">B71*N(Debts!C7)/12</f>
        <v>0</v>
      </c>
      <c r="I71" s="15" t="n">
        <f aca="false">C71*N(Debts!C8)/12</f>
        <v>0</v>
      </c>
      <c r="J71" s="15" t="n">
        <f aca="false">D71*N(Debts!C9)/12</f>
        <v>0</v>
      </c>
      <c r="K71" s="15" t="n">
        <f aca="false">E71*N(Debts!C10)/12</f>
        <v>0</v>
      </c>
      <c r="L71" s="15" t="n">
        <f aca="false">F71*N(Debts!C11)/12</f>
        <v>0</v>
      </c>
      <c r="M71" s="15" t="n">
        <f aca="false">G71*N(Debts!C12)/12</f>
        <v>0</v>
      </c>
      <c r="N71" s="15" t="n">
        <f aca="false">MIN(B71+H71,N(Debts!D7))</f>
        <v>0</v>
      </c>
      <c r="O71" s="15" t="n">
        <f aca="false">MIN(C71+I71,N(Debts!D8))</f>
        <v>0</v>
      </c>
      <c r="P71" s="15" t="n">
        <f aca="false">MIN(D71+J71,N(Debts!D9))</f>
        <v>0</v>
      </c>
      <c r="Q71" s="15" t="n">
        <f aca="false">MIN(E71+K71,N(Debts!D10))</f>
        <v>0</v>
      </c>
      <c r="R71" s="15" t="n">
        <f aca="false">MIN(F71+L71,N(Debts!D11))</f>
        <v>0</v>
      </c>
      <c r="S71" s="15" t="n">
        <f aca="false">MIN(G71+M71,N(Debts!D12))</f>
        <v>0</v>
      </c>
      <c r="T71" s="15" t="n">
        <f aca="false">Debts!$B$14</f>
        <v>286</v>
      </c>
      <c r="U71" s="15" t="n">
        <f aca="false">MAX(0,T71-SUM(N71:S71))</f>
        <v>286</v>
      </c>
      <c r="V71" s="16" t="n">
        <f aca="false">_xlfn.MINIFS($B$3:$G$3,B71:G71,"&gt;0.005")</f>
        <v>0</v>
      </c>
      <c r="W71" s="15" t="n">
        <f aca="false">IF(B71&lt;=0.005,0,MIN(B71+H71,N71+IF(B$3=$V71,$U71,0)))</f>
        <v>0</v>
      </c>
      <c r="X71" s="15" t="n">
        <f aca="false">IF(C71&lt;=0.005,0,MIN(C71+I71,O71+IF(C$3=$V71,$U71,0)))</f>
        <v>0</v>
      </c>
      <c r="Y71" s="15" t="n">
        <f aca="false">IF(D71&lt;=0.005,0,MIN(D71+J71,P71+IF(D$3=$V71,$U71,0)))</f>
        <v>0</v>
      </c>
      <c r="Z71" s="15" t="n">
        <f aca="false">IF(E71&lt;=0.005,0,MIN(E71+K71,Q71+IF(E$3=$V71,$U71,0)))</f>
        <v>0</v>
      </c>
      <c r="AA71" s="15" t="n">
        <f aca="false">IF(F71&lt;=0.005,0,MIN(F71+L71,R71+IF(F$3=$V71,$U71,0)))</f>
        <v>0</v>
      </c>
      <c r="AB71" s="15" t="n">
        <f aca="false">IF(G71&lt;=0.005,0,MIN(G71+M71,S71+IF(G$3=$V71,$U71,0)))</f>
        <v>0</v>
      </c>
      <c r="AC71" s="15" t="n">
        <f aca="false">MAX(0,B71+H71-W71)</f>
        <v>0</v>
      </c>
      <c r="AD71" s="15" t="n">
        <f aca="false">MAX(0,C71+I71-X71)</f>
        <v>0</v>
      </c>
      <c r="AE71" s="15" t="n">
        <f aca="false">MAX(0,D71+J71-Y71)</f>
        <v>0</v>
      </c>
      <c r="AF71" s="15" t="n">
        <f aca="false">MAX(0,E71+K71-Z71)</f>
        <v>0</v>
      </c>
      <c r="AG71" s="15" t="n">
        <f aca="false">MAX(0,F71+L71-AA71)</f>
        <v>0</v>
      </c>
      <c r="AH71" s="15" t="n">
        <f aca="false">MAX(0,G71+M71-AB71)</f>
        <v>0</v>
      </c>
      <c r="AI71" s="15" t="n">
        <f aca="false">SUM(H71:M71)</f>
        <v>0</v>
      </c>
      <c r="AJ71" s="15" t="n">
        <f aca="false">SUM(AC71:AH71)</f>
        <v>0</v>
      </c>
    </row>
    <row r="72" customFormat="false" ht="15" hidden="false" customHeight="false" outlineLevel="0" collapsed="false">
      <c r="A72" s="0" t="n">
        <v>68</v>
      </c>
      <c r="B72" s="15" t="n">
        <f aca="false">AC71</f>
        <v>0</v>
      </c>
      <c r="C72" s="15" t="n">
        <f aca="false">AD71</f>
        <v>0</v>
      </c>
      <c r="D72" s="15" t="n">
        <f aca="false">AE71</f>
        <v>0</v>
      </c>
      <c r="E72" s="15" t="n">
        <f aca="false">AF71</f>
        <v>0</v>
      </c>
      <c r="F72" s="15" t="n">
        <f aca="false">AG71</f>
        <v>0</v>
      </c>
      <c r="G72" s="15" t="n">
        <f aca="false">AH71</f>
        <v>0</v>
      </c>
      <c r="H72" s="15" t="n">
        <f aca="false">B72*N(Debts!C7)/12</f>
        <v>0</v>
      </c>
      <c r="I72" s="15" t="n">
        <f aca="false">C72*N(Debts!C8)/12</f>
        <v>0</v>
      </c>
      <c r="J72" s="15" t="n">
        <f aca="false">D72*N(Debts!C9)/12</f>
        <v>0</v>
      </c>
      <c r="K72" s="15" t="n">
        <f aca="false">E72*N(Debts!C10)/12</f>
        <v>0</v>
      </c>
      <c r="L72" s="15" t="n">
        <f aca="false">F72*N(Debts!C11)/12</f>
        <v>0</v>
      </c>
      <c r="M72" s="15" t="n">
        <f aca="false">G72*N(Debts!C12)/12</f>
        <v>0</v>
      </c>
      <c r="N72" s="15" t="n">
        <f aca="false">MIN(B72+H72,N(Debts!D7))</f>
        <v>0</v>
      </c>
      <c r="O72" s="15" t="n">
        <f aca="false">MIN(C72+I72,N(Debts!D8))</f>
        <v>0</v>
      </c>
      <c r="P72" s="15" t="n">
        <f aca="false">MIN(D72+J72,N(Debts!D9))</f>
        <v>0</v>
      </c>
      <c r="Q72" s="15" t="n">
        <f aca="false">MIN(E72+K72,N(Debts!D10))</f>
        <v>0</v>
      </c>
      <c r="R72" s="15" t="n">
        <f aca="false">MIN(F72+L72,N(Debts!D11))</f>
        <v>0</v>
      </c>
      <c r="S72" s="15" t="n">
        <f aca="false">MIN(G72+M72,N(Debts!D12))</f>
        <v>0</v>
      </c>
      <c r="T72" s="15" t="n">
        <f aca="false">Debts!$B$14</f>
        <v>286</v>
      </c>
      <c r="U72" s="15" t="n">
        <f aca="false">MAX(0,T72-SUM(N72:S72))</f>
        <v>286</v>
      </c>
      <c r="V72" s="16" t="n">
        <f aca="false">_xlfn.MINIFS($B$3:$G$3,B72:G72,"&gt;0.005")</f>
        <v>0</v>
      </c>
      <c r="W72" s="15" t="n">
        <f aca="false">IF(B72&lt;=0.005,0,MIN(B72+H72,N72+IF(B$3=$V72,$U72,0)))</f>
        <v>0</v>
      </c>
      <c r="X72" s="15" t="n">
        <f aca="false">IF(C72&lt;=0.005,0,MIN(C72+I72,O72+IF(C$3=$V72,$U72,0)))</f>
        <v>0</v>
      </c>
      <c r="Y72" s="15" t="n">
        <f aca="false">IF(D72&lt;=0.005,0,MIN(D72+J72,P72+IF(D$3=$V72,$U72,0)))</f>
        <v>0</v>
      </c>
      <c r="Z72" s="15" t="n">
        <f aca="false">IF(E72&lt;=0.005,0,MIN(E72+K72,Q72+IF(E$3=$V72,$U72,0)))</f>
        <v>0</v>
      </c>
      <c r="AA72" s="15" t="n">
        <f aca="false">IF(F72&lt;=0.005,0,MIN(F72+L72,R72+IF(F$3=$V72,$U72,0)))</f>
        <v>0</v>
      </c>
      <c r="AB72" s="15" t="n">
        <f aca="false">IF(G72&lt;=0.005,0,MIN(G72+M72,S72+IF(G$3=$V72,$U72,0)))</f>
        <v>0</v>
      </c>
      <c r="AC72" s="15" t="n">
        <f aca="false">MAX(0,B72+H72-W72)</f>
        <v>0</v>
      </c>
      <c r="AD72" s="15" t="n">
        <f aca="false">MAX(0,C72+I72-X72)</f>
        <v>0</v>
      </c>
      <c r="AE72" s="15" t="n">
        <f aca="false">MAX(0,D72+J72-Y72)</f>
        <v>0</v>
      </c>
      <c r="AF72" s="15" t="n">
        <f aca="false">MAX(0,E72+K72-Z72)</f>
        <v>0</v>
      </c>
      <c r="AG72" s="15" t="n">
        <f aca="false">MAX(0,F72+L72-AA72)</f>
        <v>0</v>
      </c>
      <c r="AH72" s="15" t="n">
        <f aca="false">MAX(0,G72+M72-AB72)</f>
        <v>0</v>
      </c>
      <c r="AI72" s="15" t="n">
        <f aca="false">SUM(H72:M72)</f>
        <v>0</v>
      </c>
      <c r="AJ72" s="15" t="n">
        <f aca="false">SUM(AC72:AH72)</f>
        <v>0</v>
      </c>
    </row>
    <row r="73" customFormat="false" ht="15" hidden="false" customHeight="false" outlineLevel="0" collapsed="false">
      <c r="A73" s="0" t="n">
        <v>69</v>
      </c>
      <c r="B73" s="15" t="n">
        <f aca="false">AC72</f>
        <v>0</v>
      </c>
      <c r="C73" s="15" t="n">
        <f aca="false">AD72</f>
        <v>0</v>
      </c>
      <c r="D73" s="15" t="n">
        <f aca="false">AE72</f>
        <v>0</v>
      </c>
      <c r="E73" s="15" t="n">
        <f aca="false">AF72</f>
        <v>0</v>
      </c>
      <c r="F73" s="15" t="n">
        <f aca="false">AG72</f>
        <v>0</v>
      </c>
      <c r="G73" s="15" t="n">
        <f aca="false">AH72</f>
        <v>0</v>
      </c>
      <c r="H73" s="15" t="n">
        <f aca="false">B73*N(Debts!C7)/12</f>
        <v>0</v>
      </c>
      <c r="I73" s="15" t="n">
        <f aca="false">C73*N(Debts!C8)/12</f>
        <v>0</v>
      </c>
      <c r="J73" s="15" t="n">
        <f aca="false">D73*N(Debts!C9)/12</f>
        <v>0</v>
      </c>
      <c r="K73" s="15" t="n">
        <f aca="false">E73*N(Debts!C10)/12</f>
        <v>0</v>
      </c>
      <c r="L73" s="15" t="n">
        <f aca="false">F73*N(Debts!C11)/12</f>
        <v>0</v>
      </c>
      <c r="M73" s="15" t="n">
        <f aca="false">G73*N(Debts!C12)/12</f>
        <v>0</v>
      </c>
      <c r="N73" s="15" t="n">
        <f aca="false">MIN(B73+H73,N(Debts!D7))</f>
        <v>0</v>
      </c>
      <c r="O73" s="15" t="n">
        <f aca="false">MIN(C73+I73,N(Debts!D8))</f>
        <v>0</v>
      </c>
      <c r="P73" s="15" t="n">
        <f aca="false">MIN(D73+J73,N(Debts!D9))</f>
        <v>0</v>
      </c>
      <c r="Q73" s="15" t="n">
        <f aca="false">MIN(E73+K73,N(Debts!D10))</f>
        <v>0</v>
      </c>
      <c r="R73" s="15" t="n">
        <f aca="false">MIN(F73+L73,N(Debts!D11))</f>
        <v>0</v>
      </c>
      <c r="S73" s="15" t="n">
        <f aca="false">MIN(G73+M73,N(Debts!D12))</f>
        <v>0</v>
      </c>
      <c r="T73" s="15" t="n">
        <f aca="false">Debts!$B$14</f>
        <v>286</v>
      </c>
      <c r="U73" s="15" t="n">
        <f aca="false">MAX(0,T73-SUM(N73:S73))</f>
        <v>286</v>
      </c>
      <c r="V73" s="16" t="n">
        <f aca="false">_xlfn.MINIFS($B$3:$G$3,B73:G73,"&gt;0.005")</f>
        <v>0</v>
      </c>
      <c r="W73" s="15" t="n">
        <f aca="false">IF(B73&lt;=0.005,0,MIN(B73+H73,N73+IF(B$3=$V73,$U73,0)))</f>
        <v>0</v>
      </c>
      <c r="X73" s="15" t="n">
        <f aca="false">IF(C73&lt;=0.005,0,MIN(C73+I73,O73+IF(C$3=$V73,$U73,0)))</f>
        <v>0</v>
      </c>
      <c r="Y73" s="15" t="n">
        <f aca="false">IF(D73&lt;=0.005,0,MIN(D73+J73,P73+IF(D$3=$V73,$U73,0)))</f>
        <v>0</v>
      </c>
      <c r="Z73" s="15" t="n">
        <f aca="false">IF(E73&lt;=0.005,0,MIN(E73+K73,Q73+IF(E$3=$V73,$U73,0)))</f>
        <v>0</v>
      </c>
      <c r="AA73" s="15" t="n">
        <f aca="false">IF(F73&lt;=0.005,0,MIN(F73+L73,R73+IF(F$3=$V73,$U73,0)))</f>
        <v>0</v>
      </c>
      <c r="AB73" s="15" t="n">
        <f aca="false">IF(G73&lt;=0.005,0,MIN(G73+M73,S73+IF(G$3=$V73,$U73,0)))</f>
        <v>0</v>
      </c>
      <c r="AC73" s="15" t="n">
        <f aca="false">MAX(0,B73+H73-W73)</f>
        <v>0</v>
      </c>
      <c r="AD73" s="15" t="n">
        <f aca="false">MAX(0,C73+I73-X73)</f>
        <v>0</v>
      </c>
      <c r="AE73" s="15" t="n">
        <f aca="false">MAX(0,D73+J73-Y73)</f>
        <v>0</v>
      </c>
      <c r="AF73" s="15" t="n">
        <f aca="false">MAX(0,E73+K73-Z73)</f>
        <v>0</v>
      </c>
      <c r="AG73" s="15" t="n">
        <f aca="false">MAX(0,F73+L73-AA73)</f>
        <v>0</v>
      </c>
      <c r="AH73" s="15" t="n">
        <f aca="false">MAX(0,G73+M73-AB73)</f>
        <v>0</v>
      </c>
      <c r="AI73" s="15" t="n">
        <f aca="false">SUM(H73:M73)</f>
        <v>0</v>
      </c>
      <c r="AJ73" s="15" t="n">
        <f aca="false">SUM(AC73:AH73)</f>
        <v>0</v>
      </c>
    </row>
    <row r="74" customFormat="false" ht="15" hidden="false" customHeight="false" outlineLevel="0" collapsed="false">
      <c r="A74" s="0" t="n">
        <v>70</v>
      </c>
      <c r="B74" s="15" t="n">
        <f aca="false">AC73</f>
        <v>0</v>
      </c>
      <c r="C74" s="15" t="n">
        <f aca="false">AD73</f>
        <v>0</v>
      </c>
      <c r="D74" s="15" t="n">
        <f aca="false">AE73</f>
        <v>0</v>
      </c>
      <c r="E74" s="15" t="n">
        <f aca="false">AF73</f>
        <v>0</v>
      </c>
      <c r="F74" s="15" t="n">
        <f aca="false">AG73</f>
        <v>0</v>
      </c>
      <c r="G74" s="15" t="n">
        <f aca="false">AH73</f>
        <v>0</v>
      </c>
      <c r="H74" s="15" t="n">
        <f aca="false">B74*N(Debts!C7)/12</f>
        <v>0</v>
      </c>
      <c r="I74" s="15" t="n">
        <f aca="false">C74*N(Debts!C8)/12</f>
        <v>0</v>
      </c>
      <c r="J74" s="15" t="n">
        <f aca="false">D74*N(Debts!C9)/12</f>
        <v>0</v>
      </c>
      <c r="K74" s="15" t="n">
        <f aca="false">E74*N(Debts!C10)/12</f>
        <v>0</v>
      </c>
      <c r="L74" s="15" t="n">
        <f aca="false">F74*N(Debts!C11)/12</f>
        <v>0</v>
      </c>
      <c r="M74" s="15" t="n">
        <f aca="false">G74*N(Debts!C12)/12</f>
        <v>0</v>
      </c>
      <c r="N74" s="15" t="n">
        <f aca="false">MIN(B74+H74,N(Debts!D7))</f>
        <v>0</v>
      </c>
      <c r="O74" s="15" t="n">
        <f aca="false">MIN(C74+I74,N(Debts!D8))</f>
        <v>0</v>
      </c>
      <c r="P74" s="15" t="n">
        <f aca="false">MIN(D74+J74,N(Debts!D9))</f>
        <v>0</v>
      </c>
      <c r="Q74" s="15" t="n">
        <f aca="false">MIN(E74+K74,N(Debts!D10))</f>
        <v>0</v>
      </c>
      <c r="R74" s="15" t="n">
        <f aca="false">MIN(F74+L74,N(Debts!D11))</f>
        <v>0</v>
      </c>
      <c r="S74" s="15" t="n">
        <f aca="false">MIN(G74+M74,N(Debts!D12))</f>
        <v>0</v>
      </c>
      <c r="T74" s="15" t="n">
        <f aca="false">Debts!$B$14</f>
        <v>286</v>
      </c>
      <c r="U74" s="15" t="n">
        <f aca="false">MAX(0,T74-SUM(N74:S74))</f>
        <v>286</v>
      </c>
      <c r="V74" s="16" t="n">
        <f aca="false">_xlfn.MINIFS($B$3:$G$3,B74:G74,"&gt;0.005")</f>
        <v>0</v>
      </c>
      <c r="W74" s="15" t="n">
        <f aca="false">IF(B74&lt;=0.005,0,MIN(B74+H74,N74+IF(B$3=$V74,$U74,0)))</f>
        <v>0</v>
      </c>
      <c r="X74" s="15" t="n">
        <f aca="false">IF(C74&lt;=0.005,0,MIN(C74+I74,O74+IF(C$3=$V74,$U74,0)))</f>
        <v>0</v>
      </c>
      <c r="Y74" s="15" t="n">
        <f aca="false">IF(D74&lt;=0.005,0,MIN(D74+J74,P74+IF(D$3=$V74,$U74,0)))</f>
        <v>0</v>
      </c>
      <c r="Z74" s="15" t="n">
        <f aca="false">IF(E74&lt;=0.005,0,MIN(E74+K74,Q74+IF(E$3=$V74,$U74,0)))</f>
        <v>0</v>
      </c>
      <c r="AA74" s="15" t="n">
        <f aca="false">IF(F74&lt;=0.005,0,MIN(F74+L74,R74+IF(F$3=$V74,$U74,0)))</f>
        <v>0</v>
      </c>
      <c r="AB74" s="15" t="n">
        <f aca="false">IF(G74&lt;=0.005,0,MIN(G74+M74,S74+IF(G$3=$V74,$U74,0)))</f>
        <v>0</v>
      </c>
      <c r="AC74" s="15" t="n">
        <f aca="false">MAX(0,B74+H74-W74)</f>
        <v>0</v>
      </c>
      <c r="AD74" s="15" t="n">
        <f aca="false">MAX(0,C74+I74-X74)</f>
        <v>0</v>
      </c>
      <c r="AE74" s="15" t="n">
        <f aca="false">MAX(0,D74+J74-Y74)</f>
        <v>0</v>
      </c>
      <c r="AF74" s="15" t="n">
        <f aca="false">MAX(0,E74+K74-Z74)</f>
        <v>0</v>
      </c>
      <c r="AG74" s="15" t="n">
        <f aca="false">MAX(0,F74+L74-AA74)</f>
        <v>0</v>
      </c>
      <c r="AH74" s="15" t="n">
        <f aca="false">MAX(0,G74+M74-AB74)</f>
        <v>0</v>
      </c>
      <c r="AI74" s="15" t="n">
        <f aca="false">SUM(H74:M74)</f>
        <v>0</v>
      </c>
      <c r="AJ74" s="15" t="n">
        <f aca="false">SUM(AC74:AH74)</f>
        <v>0</v>
      </c>
    </row>
    <row r="75" customFormat="false" ht="15" hidden="false" customHeight="false" outlineLevel="0" collapsed="false">
      <c r="A75" s="0" t="n">
        <v>71</v>
      </c>
      <c r="B75" s="15" t="n">
        <f aca="false">AC74</f>
        <v>0</v>
      </c>
      <c r="C75" s="15" t="n">
        <f aca="false">AD74</f>
        <v>0</v>
      </c>
      <c r="D75" s="15" t="n">
        <f aca="false">AE74</f>
        <v>0</v>
      </c>
      <c r="E75" s="15" t="n">
        <f aca="false">AF74</f>
        <v>0</v>
      </c>
      <c r="F75" s="15" t="n">
        <f aca="false">AG74</f>
        <v>0</v>
      </c>
      <c r="G75" s="15" t="n">
        <f aca="false">AH74</f>
        <v>0</v>
      </c>
      <c r="H75" s="15" t="n">
        <f aca="false">B75*N(Debts!C7)/12</f>
        <v>0</v>
      </c>
      <c r="I75" s="15" t="n">
        <f aca="false">C75*N(Debts!C8)/12</f>
        <v>0</v>
      </c>
      <c r="J75" s="15" t="n">
        <f aca="false">D75*N(Debts!C9)/12</f>
        <v>0</v>
      </c>
      <c r="K75" s="15" t="n">
        <f aca="false">E75*N(Debts!C10)/12</f>
        <v>0</v>
      </c>
      <c r="L75" s="15" t="n">
        <f aca="false">F75*N(Debts!C11)/12</f>
        <v>0</v>
      </c>
      <c r="M75" s="15" t="n">
        <f aca="false">G75*N(Debts!C12)/12</f>
        <v>0</v>
      </c>
      <c r="N75" s="15" t="n">
        <f aca="false">MIN(B75+H75,N(Debts!D7))</f>
        <v>0</v>
      </c>
      <c r="O75" s="15" t="n">
        <f aca="false">MIN(C75+I75,N(Debts!D8))</f>
        <v>0</v>
      </c>
      <c r="P75" s="15" t="n">
        <f aca="false">MIN(D75+J75,N(Debts!D9))</f>
        <v>0</v>
      </c>
      <c r="Q75" s="15" t="n">
        <f aca="false">MIN(E75+K75,N(Debts!D10))</f>
        <v>0</v>
      </c>
      <c r="R75" s="15" t="n">
        <f aca="false">MIN(F75+L75,N(Debts!D11))</f>
        <v>0</v>
      </c>
      <c r="S75" s="15" t="n">
        <f aca="false">MIN(G75+M75,N(Debts!D12))</f>
        <v>0</v>
      </c>
      <c r="T75" s="15" t="n">
        <f aca="false">Debts!$B$14</f>
        <v>286</v>
      </c>
      <c r="U75" s="15" t="n">
        <f aca="false">MAX(0,T75-SUM(N75:S75))</f>
        <v>286</v>
      </c>
      <c r="V75" s="16" t="n">
        <f aca="false">_xlfn.MINIFS($B$3:$G$3,B75:G75,"&gt;0.005")</f>
        <v>0</v>
      </c>
      <c r="W75" s="15" t="n">
        <f aca="false">IF(B75&lt;=0.005,0,MIN(B75+H75,N75+IF(B$3=$V75,$U75,0)))</f>
        <v>0</v>
      </c>
      <c r="X75" s="15" t="n">
        <f aca="false">IF(C75&lt;=0.005,0,MIN(C75+I75,O75+IF(C$3=$V75,$U75,0)))</f>
        <v>0</v>
      </c>
      <c r="Y75" s="15" t="n">
        <f aca="false">IF(D75&lt;=0.005,0,MIN(D75+J75,P75+IF(D$3=$V75,$U75,0)))</f>
        <v>0</v>
      </c>
      <c r="Z75" s="15" t="n">
        <f aca="false">IF(E75&lt;=0.005,0,MIN(E75+K75,Q75+IF(E$3=$V75,$U75,0)))</f>
        <v>0</v>
      </c>
      <c r="AA75" s="15" t="n">
        <f aca="false">IF(F75&lt;=0.005,0,MIN(F75+L75,R75+IF(F$3=$V75,$U75,0)))</f>
        <v>0</v>
      </c>
      <c r="AB75" s="15" t="n">
        <f aca="false">IF(G75&lt;=0.005,0,MIN(G75+M75,S75+IF(G$3=$V75,$U75,0)))</f>
        <v>0</v>
      </c>
      <c r="AC75" s="15" t="n">
        <f aca="false">MAX(0,B75+H75-W75)</f>
        <v>0</v>
      </c>
      <c r="AD75" s="15" t="n">
        <f aca="false">MAX(0,C75+I75-X75)</f>
        <v>0</v>
      </c>
      <c r="AE75" s="15" t="n">
        <f aca="false">MAX(0,D75+J75-Y75)</f>
        <v>0</v>
      </c>
      <c r="AF75" s="15" t="n">
        <f aca="false">MAX(0,E75+K75-Z75)</f>
        <v>0</v>
      </c>
      <c r="AG75" s="15" t="n">
        <f aca="false">MAX(0,F75+L75-AA75)</f>
        <v>0</v>
      </c>
      <c r="AH75" s="15" t="n">
        <f aca="false">MAX(0,G75+M75-AB75)</f>
        <v>0</v>
      </c>
      <c r="AI75" s="15" t="n">
        <f aca="false">SUM(H75:M75)</f>
        <v>0</v>
      </c>
      <c r="AJ75" s="15" t="n">
        <f aca="false">SUM(AC75:AH75)</f>
        <v>0</v>
      </c>
    </row>
    <row r="76" customFormat="false" ht="15" hidden="false" customHeight="false" outlineLevel="0" collapsed="false">
      <c r="A76" s="0" t="n">
        <v>72</v>
      </c>
      <c r="B76" s="15" t="n">
        <f aca="false">AC75</f>
        <v>0</v>
      </c>
      <c r="C76" s="15" t="n">
        <f aca="false">AD75</f>
        <v>0</v>
      </c>
      <c r="D76" s="15" t="n">
        <f aca="false">AE75</f>
        <v>0</v>
      </c>
      <c r="E76" s="15" t="n">
        <f aca="false">AF75</f>
        <v>0</v>
      </c>
      <c r="F76" s="15" t="n">
        <f aca="false">AG75</f>
        <v>0</v>
      </c>
      <c r="G76" s="15" t="n">
        <f aca="false">AH75</f>
        <v>0</v>
      </c>
      <c r="H76" s="15" t="n">
        <f aca="false">B76*N(Debts!C7)/12</f>
        <v>0</v>
      </c>
      <c r="I76" s="15" t="n">
        <f aca="false">C76*N(Debts!C8)/12</f>
        <v>0</v>
      </c>
      <c r="J76" s="15" t="n">
        <f aca="false">D76*N(Debts!C9)/12</f>
        <v>0</v>
      </c>
      <c r="K76" s="15" t="n">
        <f aca="false">E76*N(Debts!C10)/12</f>
        <v>0</v>
      </c>
      <c r="L76" s="15" t="n">
        <f aca="false">F76*N(Debts!C11)/12</f>
        <v>0</v>
      </c>
      <c r="M76" s="15" t="n">
        <f aca="false">G76*N(Debts!C12)/12</f>
        <v>0</v>
      </c>
      <c r="N76" s="15" t="n">
        <f aca="false">MIN(B76+H76,N(Debts!D7))</f>
        <v>0</v>
      </c>
      <c r="O76" s="15" t="n">
        <f aca="false">MIN(C76+I76,N(Debts!D8))</f>
        <v>0</v>
      </c>
      <c r="P76" s="15" t="n">
        <f aca="false">MIN(D76+J76,N(Debts!D9))</f>
        <v>0</v>
      </c>
      <c r="Q76" s="15" t="n">
        <f aca="false">MIN(E76+K76,N(Debts!D10))</f>
        <v>0</v>
      </c>
      <c r="R76" s="15" t="n">
        <f aca="false">MIN(F76+L76,N(Debts!D11))</f>
        <v>0</v>
      </c>
      <c r="S76" s="15" t="n">
        <f aca="false">MIN(G76+M76,N(Debts!D12))</f>
        <v>0</v>
      </c>
      <c r="T76" s="15" t="n">
        <f aca="false">Debts!$B$14</f>
        <v>286</v>
      </c>
      <c r="U76" s="15" t="n">
        <f aca="false">MAX(0,T76-SUM(N76:S76))</f>
        <v>286</v>
      </c>
      <c r="V76" s="16" t="n">
        <f aca="false">_xlfn.MINIFS($B$3:$G$3,B76:G76,"&gt;0.005")</f>
        <v>0</v>
      </c>
      <c r="W76" s="15" t="n">
        <f aca="false">IF(B76&lt;=0.005,0,MIN(B76+H76,N76+IF(B$3=$V76,$U76,0)))</f>
        <v>0</v>
      </c>
      <c r="X76" s="15" t="n">
        <f aca="false">IF(C76&lt;=0.005,0,MIN(C76+I76,O76+IF(C$3=$V76,$U76,0)))</f>
        <v>0</v>
      </c>
      <c r="Y76" s="15" t="n">
        <f aca="false">IF(D76&lt;=0.005,0,MIN(D76+J76,P76+IF(D$3=$V76,$U76,0)))</f>
        <v>0</v>
      </c>
      <c r="Z76" s="15" t="n">
        <f aca="false">IF(E76&lt;=0.005,0,MIN(E76+K76,Q76+IF(E$3=$V76,$U76,0)))</f>
        <v>0</v>
      </c>
      <c r="AA76" s="15" t="n">
        <f aca="false">IF(F76&lt;=0.005,0,MIN(F76+L76,R76+IF(F$3=$V76,$U76,0)))</f>
        <v>0</v>
      </c>
      <c r="AB76" s="15" t="n">
        <f aca="false">IF(G76&lt;=0.005,0,MIN(G76+M76,S76+IF(G$3=$V76,$U76,0)))</f>
        <v>0</v>
      </c>
      <c r="AC76" s="15" t="n">
        <f aca="false">MAX(0,B76+H76-W76)</f>
        <v>0</v>
      </c>
      <c r="AD76" s="15" t="n">
        <f aca="false">MAX(0,C76+I76-X76)</f>
        <v>0</v>
      </c>
      <c r="AE76" s="15" t="n">
        <f aca="false">MAX(0,D76+J76-Y76)</f>
        <v>0</v>
      </c>
      <c r="AF76" s="15" t="n">
        <f aca="false">MAX(0,E76+K76-Z76)</f>
        <v>0</v>
      </c>
      <c r="AG76" s="15" t="n">
        <f aca="false">MAX(0,F76+L76-AA76)</f>
        <v>0</v>
      </c>
      <c r="AH76" s="15" t="n">
        <f aca="false">MAX(0,G76+M76-AB76)</f>
        <v>0</v>
      </c>
      <c r="AI76" s="15" t="n">
        <f aca="false">SUM(H76:M76)</f>
        <v>0</v>
      </c>
      <c r="AJ76" s="15" t="n">
        <f aca="false">SUM(AC76:AH76)</f>
        <v>0</v>
      </c>
    </row>
    <row r="77" customFormat="false" ht="15" hidden="false" customHeight="false" outlineLevel="0" collapsed="false">
      <c r="A77" s="0" t="n">
        <v>73</v>
      </c>
      <c r="B77" s="15" t="n">
        <f aca="false">AC76</f>
        <v>0</v>
      </c>
      <c r="C77" s="15" t="n">
        <f aca="false">AD76</f>
        <v>0</v>
      </c>
      <c r="D77" s="15" t="n">
        <f aca="false">AE76</f>
        <v>0</v>
      </c>
      <c r="E77" s="15" t="n">
        <f aca="false">AF76</f>
        <v>0</v>
      </c>
      <c r="F77" s="15" t="n">
        <f aca="false">AG76</f>
        <v>0</v>
      </c>
      <c r="G77" s="15" t="n">
        <f aca="false">AH76</f>
        <v>0</v>
      </c>
      <c r="H77" s="15" t="n">
        <f aca="false">B77*N(Debts!C7)/12</f>
        <v>0</v>
      </c>
      <c r="I77" s="15" t="n">
        <f aca="false">C77*N(Debts!C8)/12</f>
        <v>0</v>
      </c>
      <c r="J77" s="15" t="n">
        <f aca="false">D77*N(Debts!C9)/12</f>
        <v>0</v>
      </c>
      <c r="K77" s="15" t="n">
        <f aca="false">E77*N(Debts!C10)/12</f>
        <v>0</v>
      </c>
      <c r="L77" s="15" t="n">
        <f aca="false">F77*N(Debts!C11)/12</f>
        <v>0</v>
      </c>
      <c r="M77" s="15" t="n">
        <f aca="false">G77*N(Debts!C12)/12</f>
        <v>0</v>
      </c>
      <c r="N77" s="15" t="n">
        <f aca="false">MIN(B77+H77,N(Debts!D7))</f>
        <v>0</v>
      </c>
      <c r="O77" s="15" t="n">
        <f aca="false">MIN(C77+I77,N(Debts!D8))</f>
        <v>0</v>
      </c>
      <c r="P77" s="15" t="n">
        <f aca="false">MIN(D77+J77,N(Debts!D9))</f>
        <v>0</v>
      </c>
      <c r="Q77" s="15" t="n">
        <f aca="false">MIN(E77+K77,N(Debts!D10))</f>
        <v>0</v>
      </c>
      <c r="R77" s="15" t="n">
        <f aca="false">MIN(F77+L77,N(Debts!D11))</f>
        <v>0</v>
      </c>
      <c r="S77" s="15" t="n">
        <f aca="false">MIN(G77+M77,N(Debts!D12))</f>
        <v>0</v>
      </c>
      <c r="T77" s="15" t="n">
        <f aca="false">Debts!$B$14</f>
        <v>286</v>
      </c>
      <c r="U77" s="15" t="n">
        <f aca="false">MAX(0,T77-SUM(N77:S77))</f>
        <v>286</v>
      </c>
      <c r="V77" s="16" t="n">
        <f aca="false">_xlfn.MINIFS($B$3:$G$3,B77:G77,"&gt;0.005")</f>
        <v>0</v>
      </c>
      <c r="W77" s="15" t="n">
        <f aca="false">IF(B77&lt;=0.005,0,MIN(B77+H77,N77+IF(B$3=$V77,$U77,0)))</f>
        <v>0</v>
      </c>
      <c r="X77" s="15" t="n">
        <f aca="false">IF(C77&lt;=0.005,0,MIN(C77+I77,O77+IF(C$3=$V77,$U77,0)))</f>
        <v>0</v>
      </c>
      <c r="Y77" s="15" t="n">
        <f aca="false">IF(D77&lt;=0.005,0,MIN(D77+J77,P77+IF(D$3=$V77,$U77,0)))</f>
        <v>0</v>
      </c>
      <c r="Z77" s="15" t="n">
        <f aca="false">IF(E77&lt;=0.005,0,MIN(E77+K77,Q77+IF(E$3=$V77,$U77,0)))</f>
        <v>0</v>
      </c>
      <c r="AA77" s="15" t="n">
        <f aca="false">IF(F77&lt;=0.005,0,MIN(F77+L77,R77+IF(F$3=$V77,$U77,0)))</f>
        <v>0</v>
      </c>
      <c r="AB77" s="15" t="n">
        <f aca="false">IF(G77&lt;=0.005,0,MIN(G77+M77,S77+IF(G$3=$V77,$U77,0)))</f>
        <v>0</v>
      </c>
      <c r="AC77" s="15" t="n">
        <f aca="false">MAX(0,B77+H77-W77)</f>
        <v>0</v>
      </c>
      <c r="AD77" s="15" t="n">
        <f aca="false">MAX(0,C77+I77-X77)</f>
        <v>0</v>
      </c>
      <c r="AE77" s="15" t="n">
        <f aca="false">MAX(0,D77+J77-Y77)</f>
        <v>0</v>
      </c>
      <c r="AF77" s="15" t="n">
        <f aca="false">MAX(0,E77+K77-Z77)</f>
        <v>0</v>
      </c>
      <c r="AG77" s="15" t="n">
        <f aca="false">MAX(0,F77+L77-AA77)</f>
        <v>0</v>
      </c>
      <c r="AH77" s="15" t="n">
        <f aca="false">MAX(0,G77+M77-AB77)</f>
        <v>0</v>
      </c>
      <c r="AI77" s="15" t="n">
        <f aca="false">SUM(H77:M77)</f>
        <v>0</v>
      </c>
      <c r="AJ77" s="15" t="n">
        <f aca="false">SUM(AC77:AH77)</f>
        <v>0</v>
      </c>
    </row>
    <row r="78" customFormat="false" ht="15" hidden="false" customHeight="false" outlineLevel="0" collapsed="false">
      <c r="A78" s="0" t="n">
        <v>74</v>
      </c>
      <c r="B78" s="15" t="n">
        <f aca="false">AC77</f>
        <v>0</v>
      </c>
      <c r="C78" s="15" t="n">
        <f aca="false">AD77</f>
        <v>0</v>
      </c>
      <c r="D78" s="15" t="n">
        <f aca="false">AE77</f>
        <v>0</v>
      </c>
      <c r="E78" s="15" t="n">
        <f aca="false">AF77</f>
        <v>0</v>
      </c>
      <c r="F78" s="15" t="n">
        <f aca="false">AG77</f>
        <v>0</v>
      </c>
      <c r="G78" s="15" t="n">
        <f aca="false">AH77</f>
        <v>0</v>
      </c>
      <c r="H78" s="15" t="n">
        <f aca="false">B78*N(Debts!C7)/12</f>
        <v>0</v>
      </c>
      <c r="I78" s="15" t="n">
        <f aca="false">C78*N(Debts!C8)/12</f>
        <v>0</v>
      </c>
      <c r="J78" s="15" t="n">
        <f aca="false">D78*N(Debts!C9)/12</f>
        <v>0</v>
      </c>
      <c r="K78" s="15" t="n">
        <f aca="false">E78*N(Debts!C10)/12</f>
        <v>0</v>
      </c>
      <c r="L78" s="15" t="n">
        <f aca="false">F78*N(Debts!C11)/12</f>
        <v>0</v>
      </c>
      <c r="M78" s="15" t="n">
        <f aca="false">G78*N(Debts!C12)/12</f>
        <v>0</v>
      </c>
      <c r="N78" s="15" t="n">
        <f aca="false">MIN(B78+H78,N(Debts!D7))</f>
        <v>0</v>
      </c>
      <c r="O78" s="15" t="n">
        <f aca="false">MIN(C78+I78,N(Debts!D8))</f>
        <v>0</v>
      </c>
      <c r="P78" s="15" t="n">
        <f aca="false">MIN(D78+J78,N(Debts!D9))</f>
        <v>0</v>
      </c>
      <c r="Q78" s="15" t="n">
        <f aca="false">MIN(E78+K78,N(Debts!D10))</f>
        <v>0</v>
      </c>
      <c r="R78" s="15" t="n">
        <f aca="false">MIN(F78+L78,N(Debts!D11))</f>
        <v>0</v>
      </c>
      <c r="S78" s="15" t="n">
        <f aca="false">MIN(G78+M78,N(Debts!D12))</f>
        <v>0</v>
      </c>
      <c r="T78" s="15" t="n">
        <f aca="false">Debts!$B$14</f>
        <v>286</v>
      </c>
      <c r="U78" s="15" t="n">
        <f aca="false">MAX(0,T78-SUM(N78:S78))</f>
        <v>286</v>
      </c>
      <c r="V78" s="16" t="n">
        <f aca="false">_xlfn.MINIFS($B$3:$G$3,B78:G78,"&gt;0.005")</f>
        <v>0</v>
      </c>
      <c r="W78" s="15" t="n">
        <f aca="false">IF(B78&lt;=0.005,0,MIN(B78+H78,N78+IF(B$3=$V78,$U78,0)))</f>
        <v>0</v>
      </c>
      <c r="X78" s="15" t="n">
        <f aca="false">IF(C78&lt;=0.005,0,MIN(C78+I78,O78+IF(C$3=$V78,$U78,0)))</f>
        <v>0</v>
      </c>
      <c r="Y78" s="15" t="n">
        <f aca="false">IF(D78&lt;=0.005,0,MIN(D78+J78,P78+IF(D$3=$V78,$U78,0)))</f>
        <v>0</v>
      </c>
      <c r="Z78" s="15" t="n">
        <f aca="false">IF(E78&lt;=0.005,0,MIN(E78+K78,Q78+IF(E$3=$V78,$U78,0)))</f>
        <v>0</v>
      </c>
      <c r="AA78" s="15" t="n">
        <f aca="false">IF(F78&lt;=0.005,0,MIN(F78+L78,R78+IF(F$3=$V78,$U78,0)))</f>
        <v>0</v>
      </c>
      <c r="AB78" s="15" t="n">
        <f aca="false">IF(G78&lt;=0.005,0,MIN(G78+M78,S78+IF(G$3=$V78,$U78,0)))</f>
        <v>0</v>
      </c>
      <c r="AC78" s="15" t="n">
        <f aca="false">MAX(0,B78+H78-W78)</f>
        <v>0</v>
      </c>
      <c r="AD78" s="15" t="n">
        <f aca="false">MAX(0,C78+I78-X78)</f>
        <v>0</v>
      </c>
      <c r="AE78" s="15" t="n">
        <f aca="false">MAX(0,D78+J78-Y78)</f>
        <v>0</v>
      </c>
      <c r="AF78" s="15" t="n">
        <f aca="false">MAX(0,E78+K78-Z78)</f>
        <v>0</v>
      </c>
      <c r="AG78" s="15" t="n">
        <f aca="false">MAX(0,F78+L78-AA78)</f>
        <v>0</v>
      </c>
      <c r="AH78" s="15" t="n">
        <f aca="false">MAX(0,G78+M78-AB78)</f>
        <v>0</v>
      </c>
      <c r="AI78" s="15" t="n">
        <f aca="false">SUM(H78:M78)</f>
        <v>0</v>
      </c>
      <c r="AJ78" s="15" t="n">
        <f aca="false">SUM(AC78:AH78)</f>
        <v>0</v>
      </c>
    </row>
    <row r="79" customFormat="false" ht="15" hidden="false" customHeight="false" outlineLevel="0" collapsed="false">
      <c r="A79" s="0" t="n">
        <v>75</v>
      </c>
      <c r="B79" s="15" t="n">
        <f aca="false">AC78</f>
        <v>0</v>
      </c>
      <c r="C79" s="15" t="n">
        <f aca="false">AD78</f>
        <v>0</v>
      </c>
      <c r="D79" s="15" t="n">
        <f aca="false">AE78</f>
        <v>0</v>
      </c>
      <c r="E79" s="15" t="n">
        <f aca="false">AF78</f>
        <v>0</v>
      </c>
      <c r="F79" s="15" t="n">
        <f aca="false">AG78</f>
        <v>0</v>
      </c>
      <c r="G79" s="15" t="n">
        <f aca="false">AH78</f>
        <v>0</v>
      </c>
      <c r="H79" s="15" t="n">
        <f aca="false">B79*N(Debts!C7)/12</f>
        <v>0</v>
      </c>
      <c r="I79" s="15" t="n">
        <f aca="false">C79*N(Debts!C8)/12</f>
        <v>0</v>
      </c>
      <c r="J79" s="15" t="n">
        <f aca="false">D79*N(Debts!C9)/12</f>
        <v>0</v>
      </c>
      <c r="K79" s="15" t="n">
        <f aca="false">E79*N(Debts!C10)/12</f>
        <v>0</v>
      </c>
      <c r="L79" s="15" t="n">
        <f aca="false">F79*N(Debts!C11)/12</f>
        <v>0</v>
      </c>
      <c r="M79" s="15" t="n">
        <f aca="false">G79*N(Debts!C12)/12</f>
        <v>0</v>
      </c>
      <c r="N79" s="15" t="n">
        <f aca="false">MIN(B79+H79,N(Debts!D7))</f>
        <v>0</v>
      </c>
      <c r="O79" s="15" t="n">
        <f aca="false">MIN(C79+I79,N(Debts!D8))</f>
        <v>0</v>
      </c>
      <c r="P79" s="15" t="n">
        <f aca="false">MIN(D79+J79,N(Debts!D9))</f>
        <v>0</v>
      </c>
      <c r="Q79" s="15" t="n">
        <f aca="false">MIN(E79+K79,N(Debts!D10))</f>
        <v>0</v>
      </c>
      <c r="R79" s="15" t="n">
        <f aca="false">MIN(F79+L79,N(Debts!D11))</f>
        <v>0</v>
      </c>
      <c r="S79" s="15" t="n">
        <f aca="false">MIN(G79+M79,N(Debts!D12))</f>
        <v>0</v>
      </c>
      <c r="T79" s="15" t="n">
        <f aca="false">Debts!$B$14</f>
        <v>286</v>
      </c>
      <c r="U79" s="15" t="n">
        <f aca="false">MAX(0,T79-SUM(N79:S79))</f>
        <v>286</v>
      </c>
      <c r="V79" s="16" t="n">
        <f aca="false">_xlfn.MINIFS($B$3:$G$3,B79:G79,"&gt;0.005")</f>
        <v>0</v>
      </c>
      <c r="W79" s="15" t="n">
        <f aca="false">IF(B79&lt;=0.005,0,MIN(B79+H79,N79+IF(B$3=$V79,$U79,0)))</f>
        <v>0</v>
      </c>
      <c r="X79" s="15" t="n">
        <f aca="false">IF(C79&lt;=0.005,0,MIN(C79+I79,O79+IF(C$3=$V79,$U79,0)))</f>
        <v>0</v>
      </c>
      <c r="Y79" s="15" t="n">
        <f aca="false">IF(D79&lt;=0.005,0,MIN(D79+J79,P79+IF(D$3=$V79,$U79,0)))</f>
        <v>0</v>
      </c>
      <c r="Z79" s="15" t="n">
        <f aca="false">IF(E79&lt;=0.005,0,MIN(E79+K79,Q79+IF(E$3=$V79,$U79,0)))</f>
        <v>0</v>
      </c>
      <c r="AA79" s="15" t="n">
        <f aca="false">IF(F79&lt;=0.005,0,MIN(F79+L79,R79+IF(F$3=$V79,$U79,0)))</f>
        <v>0</v>
      </c>
      <c r="AB79" s="15" t="n">
        <f aca="false">IF(G79&lt;=0.005,0,MIN(G79+M79,S79+IF(G$3=$V79,$U79,0)))</f>
        <v>0</v>
      </c>
      <c r="AC79" s="15" t="n">
        <f aca="false">MAX(0,B79+H79-W79)</f>
        <v>0</v>
      </c>
      <c r="AD79" s="15" t="n">
        <f aca="false">MAX(0,C79+I79-X79)</f>
        <v>0</v>
      </c>
      <c r="AE79" s="15" t="n">
        <f aca="false">MAX(0,D79+J79-Y79)</f>
        <v>0</v>
      </c>
      <c r="AF79" s="15" t="n">
        <f aca="false">MAX(0,E79+K79-Z79)</f>
        <v>0</v>
      </c>
      <c r="AG79" s="15" t="n">
        <f aca="false">MAX(0,F79+L79-AA79)</f>
        <v>0</v>
      </c>
      <c r="AH79" s="15" t="n">
        <f aca="false">MAX(0,G79+M79-AB79)</f>
        <v>0</v>
      </c>
      <c r="AI79" s="15" t="n">
        <f aca="false">SUM(H79:M79)</f>
        <v>0</v>
      </c>
      <c r="AJ79" s="15" t="n">
        <f aca="false">SUM(AC79:AH79)</f>
        <v>0</v>
      </c>
    </row>
    <row r="80" customFormat="false" ht="15" hidden="false" customHeight="false" outlineLevel="0" collapsed="false">
      <c r="A80" s="0" t="n">
        <v>76</v>
      </c>
      <c r="B80" s="15" t="n">
        <f aca="false">AC79</f>
        <v>0</v>
      </c>
      <c r="C80" s="15" t="n">
        <f aca="false">AD79</f>
        <v>0</v>
      </c>
      <c r="D80" s="15" t="n">
        <f aca="false">AE79</f>
        <v>0</v>
      </c>
      <c r="E80" s="15" t="n">
        <f aca="false">AF79</f>
        <v>0</v>
      </c>
      <c r="F80" s="15" t="n">
        <f aca="false">AG79</f>
        <v>0</v>
      </c>
      <c r="G80" s="15" t="n">
        <f aca="false">AH79</f>
        <v>0</v>
      </c>
      <c r="H80" s="15" t="n">
        <f aca="false">B80*N(Debts!C7)/12</f>
        <v>0</v>
      </c>
      <c r="I80" s="15" t="n">
        <f aca="false">C80*N(Debts!C8)/12</f>
        <v>0</v>
      </c>
      <c r="J80" s="15" t="n">
        <f aca="false">D80*N(Debts!C9)/12</f>
        <v>0</v>
      </c>
      <c r="K80" s="15" t="n">
        <f aca="false">E80*N(Debts!C10)/12</f>
        <v>0</v>
      </c>
      <c r="L80" s="15" t="n">
        <f aca="false">F80*N(Debts!C11)/12</f>
        <v>0</v>
      </c>
      <c r="M80" s="15" t="n">
        <f aca="false">G80*N(Debts!C12)/12</f>
        <v>0</v>
      </c>
      <c r="N80" s="15" t="n">
        <f aca="false">MIN(B80+H80,N(Debts!D7))</f>
        <v>0</v>
      </c>
      <c r="O80" s="15" t="n">
        <f aca="false">MIN(C80+I80,N(Debts!D8))</f>
        <v>0</v>
      </c>
      <c r="P80" s="15" t="n">
        <f aca="false">MIN(D80+J80,N(Debts!D9))</f>
        <v>0</v>
      </c>
      <c r="Q80" s="15" t="n">
        <f aca="false">MIN(E80+K80,N(Debts!D10))</f>
        <v>0</v>
      </c>
      <c r="R80" s="15" t="n">
        <f aca="false">MIN(F80+L80,N(Debts!D11))</f>
        <v>0</v>
      </c>
      <c r="S80" s="15" t="n">
        <f aca="false">MIN(G80+M80,N(Debts!D12))</f>
        <v>0</v>
      </c>
      <c r="T80" s="15" t="n">
        <f aca="false">Debts!$B$14</f>
        <v>286</v>
      </c>
      <c r="U80" s="15" t="n">
        <f aca="false">MAX(0,T80-SUM(N80:S80))</f>
        <v>286</v>
      </c>
      <c r="V80" s="16" t="n">
        <f aca="false">_xlfn.MINIFS($B$3:$G$3,B80:G80,"&gt;0.005")</f>
        <v>0</v>
      </c>
      <c r="W80" s="15" t="n">
        <f aca="false">IF(B80&lt;=0.005,0,MIN(B80+H80,N80+IF(B$3=$V80,$U80,0)))</f>
        <v>0</v>
      </c>
      <c r="X80" s="15" t="n">
        <f aca="false">IF(C80&lt;=0.005,0,MIN(C80+I80,O80+IF(C$3=$V80,$U80,0)))</f>
        <v>0</v>
      </c>
      <c r="Y80" s="15" t="n">
        <f aca="false">IF(D80&lt;=0.005,0,MIN(D80+J80,P80+IF(D$3=$V80,$U80,0)))</f>
        <v>0</v>
      </c>
      <c r="Z80" s="15" t="n">
        <f aca="false">IF(E80&lt;=0.005,0,MIN(E80+K80,Q80+IF(E$3=$V80,$U80,0)))</f>
        <v>0</v>
      </c>
      <c r="AA80" s="15" t="n">
        <f aca="false">IF(F80&lt;=0.005,0,MIN(F80+L80,R80+IF(F$3=$V80,$U80,0)))</f>
        <v>0</v>
      </c>
      <c r="AB80" s="15" t="n">
        <f aca="false">IF(G80&lt;=0.005,0,MIN(G80+M80,S80+IF(G$3=$V80,$U80,0)))</f>
        <v>0</v>
      </c>
      <c r="AC80" s="15" t="n">
        <f aca="false">MAX(0,B80+H80-W80)</f>
        <v>0</v>
      </c>
      <c r="AD80" s="15" t="n">
        <f aca="false">MAX(0,C80+I80-X80)</f>
        <v>0</v>
      </c>
      <c r="AE80" s="15" t="n">
        <f aca="false">MAX(0,D80+J80-Y80)</f>
        <v>0</v>
      </c>
      <c r="AF80" s="15" t="n">
        <f aca="false">MAX(0,E80+K80-Z80)</f>
        <v>0</v>
      </c>
      <c r="AG80" s="15" t="n">
        <f aca="false">MAX(0,F80+L80-AA80)</f>
        <v>0</v>
      </c>
      <c r="AH80" s="15" t="n">
        <f aca="false">MAX(0,G80+M80-AB80)</f>
        <v>0</v>
      </c>
      <c r="AI80" s="15" t="n">
        <f aca="false">SUM(H80:M80)</f>
        <v>0</v>
      </c>
      <c r="AJ80" s="15" t="n">
        <f aca="false">SUM(AC80:AH80)</f>
        <v>0</v>
      </c>
    </row>
    <row r="81" customFormat="false" ht="15" hidden="false" customHeight="false" outlineLevel="0" collapsed="false">
      <c r="A81" s="0" t="n">
        <v>77</v>
      </c>
      <c r="B81" s="15" t="n">
        <f aca="false">AC80</f>
        <v>0</v>
      </c>
      <c r="C81" s="15" t="n">
        <f aca="false">AD80</f>
        <v>0</v>
      </c>
      <c r="D81" s="15" t="n">
        <f aca="false">AE80</f>
        <v>0</v>
      </c>
      <c r="E81" s="15" t="n">
        <f aca="false">AF80</f>
        <v>0</v>
      </c>
      <c r="F81" s="15" t="n">
        <f aca="false">AG80</f>
        <v>0</v>
      </c>
      <c r="G81" s="15" t="n">
        <f aca="false">AH80</f>
        <v>0</v>
      </c>
      <c r="H81" s="15" t="n">
        <f aca="false">B81*N(Debts!C7)/12</f>
        <v>0</v>
      </c>
      <c r="I81" s="15" t="n">
        <f aca="false">C81*N(Debts!C8)/12</f>
        <v>0</v>
      </c>
      <c r="J81" s="15" t="n">
        <f aca="false">D81*N(Debts!C9)/12</f>
        <v>0</v>
      </c>
      <c r="K81" s="15" t="n">
        <f aca="false">E81*N(Debts!C10)/12</f>
        <v>0</v>
      </c>
      <c r="L81" s="15" t="n">
        <f aca="false">F81*N(Debts!C11)/12</f>
        <v>0</v>
      </c>
      <c r="M81" s="15" t="n">
        <f aca="false">G81*N(Debts!C12)/12</f>
        <v>0</v>
      </c>
      <c r="N81" s="15" t="n">
        <f aca="false">MIN(B81+H81,N(Debts!D7))</f>
        <v>0</v>
      </c>
      <c r="O81" s="15" t="n">
        <f aca="false">MIN(C81+I81,N(Debts!D8))</f>
        <v>0</v>
      </c>
      <c r="P81" s="15" t="n">
        <f aca="false">MIN(D81+J81,N(Debts!D9))</f>
        <v>0</v>
      </c>
      <c r="Q81" s="15" t="n">
        <f aca="false">MIN(E81+K81,N(Debts!D10))</f>
        <v>0</v>
      </c>
      <c r="R81" s="15" t="n">
        <f aca="false">MIN(F81+L81,N(Debts!D11))</f>
        <v>0</v>
      </c>
      <c r="S81" s="15" t="n">
        <f aca="false">MIN(G81+M81,N(Debts!D12))</f>
        <v>0</v>
      </c>
      <c r="T81" s="15" t="n">
        <f aca="false">Debts!$B$14</f>
        <v>286</v>
      </c>
      <c r="U81" s="15" t="n">
        <f aca="false">MAX(0,T81-SUM(N81:S81))</f>
        <v>286</v>
      </c>
      <c r="V81" s="16" t="n">
        <f aca="false">_xlfn.MINIFS($B$3:$G$3,B81:G81,"&gt;0.005")</f>
        <v>0</v>
      </c>
      <c r="W81" s="15" t="n">
        <f aca="false">IF(B81&lt;=0.005,0,MIN(B81+H81,N81+IF(B$3=$V81,$U81,0)))</f>
        <v>0</v>
      </c>
      <c r="X81" s="15" t="n">
        <f aca="false">IF(C81&lt;=0.005,0,MIN(C81+I81,O81+IF(C$3=$V81,$U81,0)))</f>
        <v>0</v>
      </c>
      <c r="Y81" s="15" t="n">
        <f aca="false">IF(D81&lt;=0.005,0,MIN(D81+J81,P81+IF(D$3=$V81,$U81,0)))</f>
        <v>0</v>
      </c>
      <c r="Z81" s="15" t="n">
        <f aca="false">IF(E81&lt;=0.005,0,MIN(E81+K81,Q81+IF(E$3=$V81,$U81,0)))</f>
        <v>0</v>
      </c>
      <c r="AA81" s="15" t="n">
        <f aca="false">IF(F81&lt;=0.005,0,MIN(F81+L81,R81+IF(F$3=$V81,$U81,0)))</f>
        <v>0</v>
      </c>
      <c r="AB81" s="15" t="n">
        <f aca="false">IF(G81&lt;=0.005,0,MIN(G81+M81,S81+IF(G$3=$V81,$U81,0)))</f>
        <v>0</v>
      </c>
      <c r="AC81" s="15" t="n">
        <f aca="false">MAX(0,B81+H81-W81)</f>
        <v>0</v>
      </c>
      <c r="AD81" s="15" t="n">
        <f aca="false">MAX(0,C81+I81-X81)</f>
        <v>0</v>
      </c>
      <c r="AE81" s="15" t="n">
        <f aca="false">MAX(0,D81+J81-Y81)</f>
        <v>0</v>
      </c>
      <c r="AF81" s="15" t="n">
        <f aca="false">MAX(0,E81+K81-Z81)</f>
        <v>0</v>
      </c>
      <c r="AG81" s="15" t="n">
        <f aca="false">MAX(0,F81+L81-AA81)</f>
        <v>0</v>
      </c>
      <c r="AH81" s="15" t="n">
        <f aca="false">MAX(0,G81+M81-AB81)</f>
        <v>0</v>
      </c>
      <c r="AI81" s="15" t="n">
        <f aca="false">SUM(H81:M81)</f>
        <v>0</v>
      </c>
      <c r="AJ81" s="15" t="n">
        <f aca="false">SUM(AC81:AH81)</f>
        <v>0</v>
      </c>
    </row>
    <row r="82" customFormat="false" ht="15" hidden="false" customHeight="false" outlineLevel="0" collapsed="false">
      <c r="A82" s="0" t="n">
        <v>78</v>
      </c>
      <c r="B82" s="15" t="n">
        <f aca="false">AC81</f>
        <v>0</v>
      </c>
      <c r="C82" s="15" t="n">
        <f aca="false">AD81</f>
        <v>0</v>
      </c>
      <c r="D82" s="15" t="n">
        <f aca="false">AE81</f>
        <v>0</v>
      </c>
      <c r="E82" s="15" t="n">
        <f aca="false">AF81</f>
        <v>0</v>
      </c>
      <c r="F82" s="15" t="n">
        <f aca="false">AG81</f>
        <v>0</v>
      </c>
      <c r="G82" s="15" t="n">
        <f aca="false">AH81</f>
        <v>0</v>
      </c>
      <c r="H82" s="15" t="n">
        <f aca="false">B82*N(Debts!C7)/12</f>
        <v>0</v>
      </c>
      <c r="I82" s="15" t="n">
        <f aca="false">C82*N(Debts!C8)/12</f>
        <v>0</v>
      </c>
      <c r="J82" s="15" t="n">
        <f aca="false">D82*N(Debts!C9)/12</f>
        <v>0</v>
      </c>
      <c r="K82" s="15" t="n">
        <f aca="false">E82*N(Debts!C10)/12</f>
        <v>0</v>
      </c>
      <c r="L82" s="15" t="n">
        <f aca="false">F82*N(Debts!C11)/12</f>
        <v>0</v>
      </c>
      <c r="M82" s="15" t="n">
        <f aca="false">G82*N(Debts!C12)/12</f>
        <v>0</v>
      </c>
      <c r="N82" s="15" t="n">
        <f aca="false">MIN(B82+H82,N(Debts!D7))</f>
        <v>0</v>
      </c>
      <c r="O82" s="15" t="n">
        <f aca="false">MIN(C82+I82,N(Debts!D8))</f>
        <v>0</v>
      </c>
      <c r="P82" s="15" t="n">
        <f aca="false">MIN(D82+J82,N(Debts!D9))</f>
        <v>0</v>
      </c>
      <c r="Q82" s="15" t="n">
        <f aca="false">MIN(E82+K82,N(Debts!D10))</f>
        <v>0</v>
      </c>
      <c r="R82" s="15" t="n">
        <f aca="false">MIN(F82+L82,N(Debts!D11))</f>
        <v>0</v>
      </c>
      <c r="S82" s="15" t="n">
        <f aca="false">MIN(G82+M82,N(Debts!D12))</f>
        <v>0</v>
      </c>
      <c r="T82" s="15" t="n">
        <f aca="false">Debts!$B$14</f>
        <v>286</v>
      </c>
      <c r="U82" s="15" t="n">
        <f aca="false">MAX(0,T82-SUM(N82:S82))</f>
        <v>286</v>
      </c>
      <c r="V82" s="16" t="n">
        <f aca="false">_xlfn.MINIFS($B$3:$G$3,B82:G82,"&gt;0.005")</f>
        <v>0</v>
      </c>
      <c r="W82" s="15" t="n">
        <f aca="false">IF(B82&lt;=0.005,0,MIN(B82+H82,N82+IF(B$3=$V82,$U82,0)))</f>
        <v>0</v>
      </c>
      <c r="X82" s="15" t="n">
        <f aca="false">IF(C82&lt;=0.005,0,MIN(C82+I82,O82+IF(C$3=$V82,$U82,0)))</f>
        <v>0</v>
      </c>
      <c r="Y82" s="15" t="n">
        <f aca="false">IF(D82&lt;=0.005,0,MIN(D82+J82,P82+IF(D$3=$V82,$U82,0)))</f>
        <v>0</v>
      </c>
      <c r="Z82" s="15" t="n">
        <f aca="false">IF(E82&lt;=0.005,0,MIN(E82+K82,Q82+IF(E$3=$V82,$U82,0)))</f>
        <v>0</v>
      </c>
      <c r="AA82" s="15" t="n">
        <f aca="false">IF(F82&lt;=0.005,0,MIN(F82+L82,R82+IF(F$3=$V82,$U82,0)))</f>
        <v>0</v>
      </c>
      <c r="AB82" s="15" t="n">
        <f aca="false">IF(G82&lt;=0.005,0,MIN(G82+M82,S82+IF(G$3=$V82,$U82,0)))</f>
        <v>0</v>
      </c>
      <c r="AC82" s="15" t="n">
        <f aca="false">MAX(0,B82+H82-W82)</f>
        <v>0</v>
      </c>
      <c r="AD82" s="15" t="n">
        <f aca="false">MAX(0,C82+I82-X82)</f>
        <v>0</v>
      </c>
      <c r="AE82" s="15" t="n">
        <f aca="false">MAX(0,D82+J82-Y82)</f>
        <v>0</v>
      </c>
      <c r="AF82" s="15" t="n">
        <f aca="false">MAX(0,E82+K82-Z82)</f>
        <v>0</v>
      </c>
      <c r="AG82" s="15" t="n">
        <f aca="false">MAX(0,F82+L82-AA82)</f>
        <v>0</v>
      </c>
      <c r="AH82" s="15" t="n">
        <f aca="false">MAX(0,G82+M82-AB82)</f>
        <v>0</v>
      </c>
      <c r="AI82" s="15" t="n">
        <f aca="false">SUM(H82:M82)</f>
        <v>0</v>
      </c>
      <c r="AJ82" s="15" t="n">
        <f aca="false">SUM(AC82:AH82)</f>
        <v>0</v>
      </c>
    </row>
    <row r="83" customFormat="false" ht="15" hidden="false" customHeight="false" outlineLevel="0" collapsed="false">
      <c r="A83" s="0" t="n">
        <v>79</v>
      </c>
      <c r="B83" s="15" t="n">
        <f aca="false">AC82</f>
        <v>0</v>
      </c>
      <c r="C83" s="15" t="n">
        <f aca="false">AD82</f>
        <v>0</v>
      </c>
      <c r="D83" s="15" t="n">
        <f aca="false">AE82</f>
        <v>0</v>
      </c>
      <c r="E83" s="15" t="n">
        <f aca="false">AF82</f>
        <v>0</v>
      </c>
      <c r="F83" s="15" t="n">
        <f aca="false">AG82</f>
        <v>0</v>
      </c>
      <c r="G83" s="15" t="n">
        <f aca="false">AH82</f>
        <v>0</v>
      </c>
      <c r="H83" s="15" t="n">
        <f aca="false">B83*N(Debts!C7)/12</f>
        <v>0</v>
      </c>
      <c r="I83" s="15" t="n">
        <f aca="false">C83*N(Debts!C8)/12</f>
        <v>0</v>
      </c>
      <c r="J83" s="15" t="n">
        <f aca="false">D83*N(Debts!C9)/12</f>
        <v>0</v>
      </c>
      <c r="K83" s="15" t="n">
        <f aca="false">E83*N(Debts!C10)/12</f>
        <v>0</v>
      </c>
      <c r="L83" s="15" t="n">
        <f aca="false">F83*N(Debts!C11)/12</f>
        <v>0</v>
      </c>
      <c r="M83" s="15" t="n">
        <f aca="false">G83*N(Debts!C12)/12</f>
        <v>0</v>
      </c>
      <c r="N83" s="15" t="n">
        <f aca="false">MIN(B83+H83,N(Debts!D7))</f>
        <v>0</v>
      </c>
      <c r="O83" s="15" t="n">
        <f aca="false">MIN(C83+I83,N(Debts!D8))</f>
        <v>0</v>
      </c>
      <c r="P83" s="15" t="n">
        <f aca="false">MIN(D83+J83,N(Debts!D9))</f>
        <v>0</v>
      </c>
      <c r="Q83" s="15" t="n">
        <f aca="false">MIN(E83+K83,N(Debts!D10))</f>
        <v>0</v>
      </c>
      <c r="R83" s="15" t="n">
        <f aca="false">MIN(F83+L83,N(Debts!D11))</f>
        <v>0</v>
      </c>
      <c r="S83" s="15" t="n">
        <f aca="false">MIN(G83+M83,N(Debts!D12))</f>
        <v>0</v>
      </c>
      <c r="T83" s="15" t="n">
        <f aca="false">Debts!$B$14</f>
        <v>286</v>
      </c>
      <c r="U83" s="15" t="n">
        <f aca="false">MAX(0,T83-SUM(N83:S83))</f>
        <v>286</v>
      </c>
      <c r="V83" s="16" t="n">
        <f aca="false">_xlfn.MINIFS($B$3:$G$3,B83:G83,"&gt;0.005")</f>
        <v>0</v>
      </c>
      <c r="W83" s="15" t="n">
        <f aca="false">IF(B83&lt;=0.005,0,MIN(B83+H83,N83+IF(B$3=$V83,$U83,0)))</f>
        <v>0</v>
      </c>
      <c r="X83" s="15" t="n">
        <f aca="false">IF(C83&lt;=0.005,0,MIN(C83+I83,O83+IF(C$3=$V83,$U83,0)))</f>
        <v>0</v>
      </c>
      <c r="Y83" s="15" t="n">
        <f aca="false">IF(D83&lt;=0.005,0,MIN(D83+J83,P83+IF(D$3=$V83,$U83,0)))</f>
        <v>0</v>
      </c>
      <c r="Z83" s="15" t="n">
        <f aca="false">IF(E83&lt;=0.005,0,MIN(E83+K83,Q83+IF(E$3=$V83,$U83,0)))</f>
        <v>0</v>
      </c>
      <c r="AA83" s="15" t="n">
        <f aca="false">IF(F83&lt;=0.005,0,MIN(F83+L83,R83+IF(F$3=$V83,$U83,0)))</f>
        <v>0</v>
      </c>
      <c r="AB83" s="15" t="n">
        <f aca="false">IF(G83&lt;=0.005,0,MIN(G83+M83,S83+IF(G$3=$V83,$U83,0)))</f>
        <v>0</v>
      </c>
      <c r="AC83" s="15" t="n">
        <f aca="false">MAX(0,B83+H83-W83)</f>
        <v>0</v>
      </c>
      <c r="AD83" s="15" t="n">
        <f aca="false">MAX(0,C83+I83-X83)</f>
        <v>0</v>
      </c>
      <c r="AE83" s="15" t="n">
        <f aca="false">MAX(0,D83+J83-Y83)</f>
        <v>0</v>
      </c>
      <c r="AF83" s="15" t="n">
        <f aca="false">MAX(0,E83+K83-Z83)</f>
        <v>0</v>
      </c>
      <c r="AG83" s="15" t="n">
        <f aca="false">MAX(0,F83+L83-AA83)</f>
        <v>0</v>
      </c>
      <c r="AH83" s="15" t="n">
        <f aca="false">MAX(0,G83+M83-AB83)</f>
        <v>0</v>
      </c>
      <c r="AI83" s="15" t="n">
        <f aca="false">SUM(H83:M83)</f>
        <v>0</v>
      </c>
      <c r="AJ83" s="15" t="n">
        <f aca="false">SUM(AC83:AH83)</f>
        <v>0</v>
      </c>
    </row>
    <row r="84" customFormat="false" ht="15" hidden="false" customHeight="false" outlineLevel="0" collapsed="false">
      <c r="A84" s="0" t="n">
        <v>80</v>
      </c>
      <c r="B84" s="15" t="n">
        <f aca="false">AC83</f>
        <v>0</v>
      </c>
      <c r="C84" s="15" t="n">
        <f aca="false">AD83</f>
        <v>0</v>
      </c>
      <c r="D84" s="15" t="n">
        <f aca="false">AE83</f>
        <v>0</v>
      </c>
      <c r="E84" s="15" t="n">
        <f aca="false">AF83</f>
        <v>0</v>
      </c>
      <c r="F84" s="15" t="n">
        <f aca="false">AG83</f>
        <v>0</v>
      </c>
      <c r="G84" s="15" t="n">
        <f aca="false">AH83</f>
        <v>0</v>
      </c>
      <c r="H84" s="15" t="n">
        <f aca="false">B84*N(Debts!C7)/12</f>
        <v>0</v>
      </c>
      <c r="I84" s="15" t="n">
        <f aca="false">C84*N(Debts!C8)/12</f>
        <v>0</v>
      </c>
      <c r="J84" s="15" t="n">
        <f aca="false">D84*N(Debts!C9)/12</f>
        <v>0</v>
      </c>
      <c r="K84" s="15" t="n">
        <f aca="false">E84*N(Debts!C10)/12</f>
        <v>0</v>
      </c>
      <c r="L84" s="15" t="n">
        <f aca="false">F84*N(Debts!C11)/12</f>
        <v>0</v>
      </c>
      <c r="M84" s="15" t="n">
        <f aca="false">G84*N(Debts!C12)/12</f>
        <v>0</v>
      </c>
      <c r="N84" s="15" t="n">
        <f aca="false">MIN(B84+H84,N(Debts!D7))</f>
        <v>0</v>
      </c>
      <c r="O84" s="15" t="n">
        <f aca="false">MIN(C84+I84,N(Debts!D8))</f>
        <v>0</v>
      </c>
      <c r="P84" s="15" t="n">
        <f aca="false">MIN(D84+J84,N(Debts!D9))</f>
        <v>0</v>
      </c>
      <c r="Q84" s="15" t="n">
        <f aca="false">MIN(E84+K84,N(Debts!D10))</f>
        <v>0</v>
      </c>
      <c r="R84" s="15" t="n">
        <f aca="false">MIN(F84+L84,N(Debts!D11))</f>
        <v>0</v>
      </c>
      <c r="S84" s="15" t="n">
        <f aca="false">MIN(G84+M84,N(Debts!D12))</f>
        <v>0</v>
      </c>
      <c r="T84" s="15" t="n">
        <f aca="false">Debts!$B$14</f>
        <v>286</v>
      </c>
      <c r="U84" s="15" t="n">
        <f aca="false">MAX(0,T84-SUM(N84:S84))</f>
        <v>286</v>
      </c>
      <c r="V84" s="16" t="n">
        <f aca="false">_xlfn.MINIFS($B$3:$G$3,B84:G84,"&gt;0.005")</f>
        <v>0</v>
      </c>
      <c r="W84" s="15" t="n">
        <f aca="false">IF(B84&lt;=0.005,0,MIN(B84+H84,N84+IF(B$3=$V84,$U84,0)))</f>
        <v>0</v>
      </c>
      <c r="X84" s="15" t="n">
        <f aca="false">IF(C84&lt;=0.005,0,MIN(C84+I84,O84+IF(C$3=$V84,$U84,0)))</f>
        <v>0</v>
      </c>
      <c r="Y84" s="15" t="n">
        <f aca="false">IF(D84&lt;=0.005,0,MIN(D84+J84,P84+IF(D$3=$V84,$U84,0)))</f>
        <v>0</v>
      </c>
      <c r="Z84" s="15" t="n">
        <f aca="false">IF(E84&lt;=0.005,0,MIN(E84+K84,Q84+IF(E$3=$V84,$U84,0)))</f>
        <v>0</v>
      </c>
      <c r="AA84" s="15" t="n">
        <f aca="false">IF(F84&lt;=0.005,0,MIN(F84+L84,R84+IF(F$3=$V84,$U84,0)))</f>
        <v>0</v>
      </c>
      <c r="AB84" s="15" t="n">
        <f aca="false">IF(G84&lt;=0.005,0,MIN(G84+M84,S84+IF(G$3=$V84,$U84,0)))</f>
        <v>0</v>
      </c>
      <c r="AC84" s="15" t="n">
        <f aca="false">MAX(0,B84+H84-W84)</f>
        <v>0</v>
      </c>
      <c r="AD84" s="15" t="n">
        <f aca="false">MAX(0,C84+I84-X84)</f>
        <v>0</v>
      </c>
      <c r="AE84" s="15" t="n">
        <f aca="false">MAX(0,D84+J84-Y84)</f>
        <v>0</v>
      </c>
      <c r="AF84" s="15" t="n">
        <f aca="false">MAX(0,E84+K84-Z84)</f>
        <v>0</v>
      </c>
      <c r="AG84" s="15" t="n">
        <f aca="false">MAX(0,F84+L84-AA84)</f>
        <v>0</v>
      </c>
      <c r="AH84" s="15" t="n">
        <f aca="false">MAX(0,G84+M84-AB84)</f>
        <v>0</v>
      </c>
      <c r="AI84" s="15" t="n">
        <f aca="false">SUM(H84:M84)</f>
        <v>0</v>
      </c>
      <c r="AJ84" s="15" t="n">
        <f aca="false">SUM(AC84:AH84)</f>
        <v>0</v>
      </c>
    </row>
    <row r="85" customFormat="false" ht="15" hidden="false" customHeight="false" outlineLevel="0" collapsed="false">
      <c r="A85" s="0" t="n">
        <v>81</v>
      </c>
      <c r="B85" s="15" t="n">
        <f aca="false">AC84</f>
        <v>0</v>
      </c>
      <c r="C85" s="15" t="n">
        <f aca="false">AD84</f>
        <v>0</v>
      </c>
      <c r="D85" s="15" t="n">
        <f aca="false">AE84</f>
        <v>0</v>
      </c>
      <c r="E85" s="15" t="n">
        <f aca="false">AF84</f>
        <v>0</v>
      </c>
      <c r="F85" s="15" t="n">
        <f aca="false">AG84</f>
        <v>0</v>
      </c>
      <c r="G85" s="15" t="n">
        <f aca="false">AH84</f>
        <v>0</v>
      </c>
      <c r="H85" s="15" t="n">
        <f aca="false">B85*N(Debts!C7)/12</f>
        <v>0</v>
      </c>
      <c r="I85" s="15" t="n">
        <f aca="false">C85*N(Debts!C8)/12</f>
        <v>0</v>
      </c>
      <c r="J85" s="15" t="n">
        <f aca="false">D85*N(Debts!C9)/12</f>
        <v>0</v>
      </c>
      <c r="K85" s="15" t="n">
        <f aca="false">E85*N(Debts!C10)/12</f>
        <v>0</v>
      </c>
      <c r="L85" s="15" t="n">
        <f aca="false">F85*N(Debts!C11)/12</f>
        <v>0</v>
      </c>
      <c r="M85" s="15" t="n">
        <f aca="false">G85*N(Debts!C12)/12</f>
        <v>0</v>
      </c>
      <c r="N85" s="15" t="n">
        <f aca="false">MIN(B85+H85,N(Debts!D7))</f>
        <v>0</v>
      </c>
      <c r="O85" s="15" t="n">
        <f aca="false">MIN(C85+I85,N(Debts!D8))</f>
        <v>0</v>
      </c>
      <c r="P85" s="15" t="n">
        <f aca="false">MIN(D85+J85,N(Debts!D9))</f>
        <v>0</v>
      </c>
      <c r="Q85" s="15" t="n">
        <f aca="false">MIN(E85+K85,N(Debts!D10))</f>
        <v>0</v>
      </c>
      <c r="R85" s="15" t="n">
        <f aca="false">MIN(F85+L85,N(Debts!D11))</f>
        <v>0</v>
      </c>
      <c r="S85" s="15" t="n">
        <f aca="false">MIN(G85+M85,N(Debts!D12))</f>
        <v>0</v>
      </c>
      <c r="T85" s="15" t="n">
        <f aca="false">Debts!$B$14</f>
        <v>286</v>
      </c>
      <c r="U85" s="15" t="n">
        <f aca="false">MAX(0,T85-SUM(N85:S85))</f>
        <v>286</v>
      </c>
      <c r="V85" s="16" t="n">
        <f aca="false">_xlfn.MINIFS($B$3:$G$3,B85:G85,"&gt;0.005")</f>
        <v>0</v>
      </c>
      <c r="W85" s="15" t="n">
        <f aca="false">IF(B85&lt;=0.005,0,MIN(B85+H85,N85+IF(B$3=$V85,$U85,0)))</f>
        <v>0</v>
      </c>
      <c r="X85" s="15" t="n">
        <f aca="false">IF(C85&lt;=0.005,0,MIN(C85+I85,O85+IF(C$3=$V85,$U85,0)))</f>
        <v>0</v>
      </c>
      <c r="Y85" s="15" t="n">
        <f aca="false">IF(D85&lt;=0.005,0,MIN(D85+J85,P85+IF(D$3=$V85,$U85,0)))</f>
        <v>0</v>
      </c>
      <c r="Z85" s="15" t="n">
        <f aca="false">IF(E85&lt;=0.005,0,MIN(E85+K85,Q85+IF(E$3=$V85,$U85,0)))</f>
        <v>0</v>
      </c>
      <c r="AA85" s="15" t="n">
        <f aca="false">IF(F85&lt;=0.005,0,MIN(F85+L85,R85+IF(F$3=$V85,$U85,0)))</f>
        <v>0</v>
      </c>
      <c r="AB85" s="15" t="n">
        <f aca="false">IF(G85&lt;=0.005,0,MIN(G85+M85,S85+IF(G$3=$V85,$U85,0)))</f>
        <v>0</v>
      </c>
      <c r="AC85" s="15" t="n">
        <f aca="false">MAX(0,B85+H85-W85)</f>
        <v>0</v>
      </c>
      <c r="AD85" s="15" t="n">
        <f aca="false">MAX(0,C85+I85-X85)</f>
        <v>0</v>
      </c>
      <c r="AE85" s="15" t="n">
        <f aca="false">MAX(0,D85+J85-Y85)</f>
        <v>0</v>
      </c>
      <c r="AF85" s="15" t="n">
        <f aca="false">MAX(0,E85+K85-Z85)</f>
        <v>0</v>
      </c>
      <c r="AG85" s="15" t="n">
        <f aca="false">MAX(0,F85+L85-AA85)</f>
        <v>0</v>
      </c>
      <c r="AH85" s="15" t="n">
        <f aca="false">MAX(0,G85+M85-AB85)</f>
        <v>0</v>
      </c>
      <c r="AI85" s="15" t="n">
        <f aca="false">SUM(H85:M85)</f>
        <v>0</v>
      </c>
      <c r="AJ85" s="15" t="n">
        <f aca="false">SUM(AC85:AH85)</f>
        <v>0</v>
      </c>
    </row>
    <row r="86" customFormat="false" ht="15" hidden="false" customHeight="false" outlineLevel="0" collapsed="false">
      <c r="A86" s="0" t="n">
        <v>82</v>
      </c>
      <c r="B86" s="15" t="n">
        <f aca="false">AC85</f>
        <v>0</v>
      </c>
      <c r="C86" s="15" t="n">
        <f aca="false">AD85</f>
        <v>0</v>
      </c>
      <c r="D86" s="15" t="n">
        <f aca="false">AE85</f>
        <v>0</v>
      </c>
      <c r="E86" s="15" t="n">
        <f aca="false">AF85</f>
        <v>0</v>
      </c>
      <c r="F86" s="15" t="n">
        <f aca="false">AG85</f>
        <v>0</v>
      </c>
      <c r="G86" s="15" t="n">
        <f aca="false">AH85</f>
        <v>0</v>
      </c>
      <c r="H86" s="15" t="n">
        <f aca="false">B86*N(Debts!C7)/12</f>
        <v>0</v>
      </c>
      <c r="I86" s="15" t="n">
        <f aca="false">C86*N(Debts!C8)/12</f>
        <v>0</v>
      </c>
      <c r="J86" s="15" t="n">
        <f aca="false">D86*N(Debts!C9)/12</f>
        <v>0</v>
      </c>
      <c r="K86" s="15" t="n">
        <f aca="false">E86*N(Debts!C10)/12</f>
        <v>0</v>
      </c>
      <c r="L86" s="15" t="n">
        <f aca="false">F86*N(Debts!C11)/12</f>
        <v>0</v>
      </c>
      <c r="M86" s="15" t="n">
        <f aca="false">G86*N(Debts!C12)/12</f>
        <v>0</v>
      </c>
      <c r="N86" s="15" t="n">
        <f aca="false">MIN(B86+H86,N(Debts!D7))</f>
        <v>0</v>
      </c>
      <c r="O86" s="15" t="n">
        <f aca="false">MIN(C86+I86,N(Debts!D8))</f>
        <v>0</v>
      </c>
      <c r="P86" s="15" t="n">
        <f aca="false">MIN(D86+J86,N(Debts!D9))</f>
        <v>0</v>
      </c>
      <c r="Q86" s="15" t="n">
        <f aca="false">MIN(E86+K86,N(Debts!D10))</f>
        <v>0</v>
      </c>
      <c r="R86" s="15" t="n">
        <f aca="false">MIN(F86+L86,N(Debts!D11))</f>
        <v>0</v>
      </c>
      <c r="S86" s="15" t="n">
        <f aca="false">MIN(G86+M86,N(Debts!D12))</f>
        <v>0</v>
      </c>
      <c r="T86" s="15" t="n">
        <f aca="false">Debts!$B$14</f>
        <v>286</v>
      </c>
      <c r="U86" s="15" t="n">
        <f aca="false">MAX(0,T86-SUM(N86:S86))</f>
        <v>286</v>
      </c>
      <c r="V86" s="16" t="n">
        <f aca="false">_xlfn.MINIFS($B$3:$G$3,B86:G86,"&gt;0.005")</f>
        <v>0</v>
      </c>
      <c r="W86" s="15" t="n">
        <f aca="false">IF(B86&lt;=0.005,0,MIN(B86+H86,N86+IF(B$3=$V86,$U86,0)))</f>
        <v>0</v>
      </c>
      <c r="X86" s="15" t="n">
        <f aca="false">IF(C86&lt;=0.005,0,MIN(C86+I86,O86+IF(C$3=$V86,$U86,0)))</f>
        <v>0</v>
      </c>
      <c r="Y86" s="15" t="n">
        <f aca="false">IF(D86&lt;=0.005,0,MIN(D86+J86,P86+IF(D$3=$V86,$U86,0)))</f>
        <v>0</v>
      </c>
      <c r="Z86" s="15" t="n">
        <f aca="false">IF(E86&lt;=0.005,0,MIN(E86+K86,Q86+IF(E$3=$V86,$U86,0)))</f>
        <v>0</v>
      </c>
      <c r="AA86" s="15" t="n">
        <f aca="false">IF(F86&lt;=0.005,0,MIN(F86+L86,R86+IF(F$3=$V86,$U86,0)))</f>
        <v>0</v>
      </c>
      <c r="AB86" s="15" t="n">
        <f aca="false">IF(G86&lt;=0.005,0,MIN(G86+M86,S86+IF(G$3=$V86,$U86,0)))</f>
        <v>0</v>
      </c>
      <c r="AC86" s="15" t="n">
        <f aca="false">MAX(0,B86+H86-W86)</f>
        <v>0</v>
      </c>
      <c r="AD86" s="15" t="n">
        <f aca="false">MAX(0,C86+I86-X86)</f>
        <v>0</v>
      </c>
      <c r="AE86" s="15" t="n">
        <f aca="false">MAX(0,D86+J86-Y86)</f>
        <v>0</v>
      </c>
      <c r="AF86" s="15" t="n">
        <f aca="false">MAX(0,E86+K86-Z86)</f>
        <v>0</v>
      </c>
      <c r="AG86" s="15" t="n">
        <f aca="false">MAX(0,F86+L86-AA86)</f>
        <v>0</v>
      </c>
      <c r="AH86" s="15" t="n">
        <f aca="false">MAX(0,G86+M86-AB86)</f>
        <v>0</v>
      </c>
      <c r="AI86" s="15" t="n">
        <f aca="false">SUM(H86:M86)</f>
        <v>0</v>
      </c>
      <c r="AJ86" s="15" t="n">
        <f aca="false">SUM(AC86:AH86)</f>
        <v>0</v>
      </c>
    </row>
    <row r="87" customFormat="false" ht="15" hidden="false" customHeight="false" outlineLevel="0" collapsed="false">
      <c r="A87" s="0" t="n">
        <v>83</v>
      </c>
      <c r="B87" s="15" t="n">
        <f aca="false">AC86</f>
        <v>0</v>
      </c>
      <c r="C87" s="15" t="n">
        <f aca="false">AD86</f>
        <v>0</v>
      </c>
      <c r="D87" s="15" t="n">
        <f aca="false">AE86</f>
        <v>0</v>
      </c>
      <c r="E87" s="15" t="n">
        <f aca="false">AF86</f>
        <v>0</v>
      </c>
      <c r="F87" s="15" t="n">
        <f aca="false">AG86</f>
        <v>0</v>
      </c>
      <c r="G87" s="15" t="n">
        <f aca="false">AH86</f>
        <v>0</v>
      </c>
      <c r="H87" s="15" t="n">
        <f aca="false">B87*N(Debts!C7)/12</f>
        <v>0</v>
      </c>
      <c r="I87" s="15" t="n">
        <f aca="false">C87*N(Debts!C8)/12</f>
        <v>0</v>
      </c>
      <c r="J87" s="15" t="n">
        <f aca="false">D87*N(Debts!C9)/12</f>
        <v>0</v>
      </c>
      <c r="K87" s="15" t="n">
        <f aca="false">E87*N(Debts!C10)/12</f>
        <v>0</v>
      </c>
      <c r="L87" s="15" t="n">
        <f aca="false">F87*N(Debts!C11)/12</f>
        <v>0</v>
      </c>
      <c r="M87" s="15" t="n">
        <f aca="false">G87*N(Debts!C12)/12</f>
        <v>0</v>
      </c>
      <c r="N87" s="15" t="n">
        <f aca="false">MIN(B87+H87,N(Debts!D7))</f>
        <v>0</v>
      </c>
      <c r="O87" s="15" t="n">
        <f aca="false">MIN(C87+I87,N(Debts!D8))</f>
        <v>0</v>
      </c>
      <c r="P87" s="15" t="n">
        <f aca="false">MIN(D87+J87,N(Debts!D9))</f>
        <v>0</v>
      </c>
      <c r="Q87" s="15" t="n">
        <f aca="false">MIN(E87+K87,N(Debts!D10))</f>
        <v>0</v>
      </c>
      <c r="R87" s="15" t="n">
        <f aca="false">MIN(F87+L87,N(Debts!D11))</f>
        <v>0</v>
      </c>
      <c r="S87" s="15" t="n">
        <f aca="false">MIN(G87+M87,N(Debts!D12))</f>
        <v>0</v>
      </c>
      <c r="T87" s="15" t="n">
        <f aca="false">Debts!$B$14</f>
        <v>286</v>
      </c>
      <c r="U87" s="15" t="n">
        <f aca="false">MAX(0,T87-SUM(N87:S87))</f>
        <v>286</v>
      </c>
      <c r="V87" s="16" t="n">
        <f aca="false">_xlfn.MINIFS($B$3:$G$3,B87:G87,"&gt;0.005")</f>
        <v>0</v>
      </c>
      <c r="W87" s="15" t="n">
        <f aca="false">IF(B87&lt;=0.005,0,MIN(B87+H87,N87+IF(B$3=$V87,$U87,0)))</f>
        <v>0</v>
      </c>
      <c r="X87" s="15" t="n">
        <f aca="false">IF(C87&lt;=0.005,0,MIN(C87+I87,O87+IF(C$3=$V87,$U87,0)))</f>
        <v>0</v>
      </c>
      <c r="Y87" s="15" t="n">
        <f aca="false">IF(D87&lt;=0.005,0,MIN(D87+J87,P87+IF(D$3=$V87,$U87,0)))</f>
        <v>0</v>
      </c>
      <c r="Z87" s="15" t="n">
        <f aca="false">IF(E87&lt;=0.005,0,MIN(E87+K87,Q87+IF(E$3=$V87,$U87,0)))</f>
        <v>0</v>
      </c>
      <c r="AA87" s="15" t="n">
        <f aca="false">IF(F87&lt;=0.005,0,MIN(F87+L87,R87+IF(F$3=$V87,$U87,0)))</f>
        <v>0</v>
      </c>
      <c r="AB87" s="15" t="n">
        <f aca="false">IF(G87&lt;=0.005,0,MIN(G87+M87,S87+IF(G$3=$V87,$U87,0)))</f>
        <v>0</v>
      </c>
      <c r="AC87" s="15" t="n">
        <f aca="false">MAX(0,B87+H87-W87)</f>
        <v>0</v>
      </c>
      <c r="AD87" s="15" t="n">
        <f aca="false">MAX(0,C87+I87-X87)</f>
        <v>0</v>
      </c>
      <c r="AE87" s="15" t="n">
        <f aca="false">MAX(0,D87+J87-Y87)</f>
        <v>0</v>
      </c>
      <c r="AF87" s="15" t="n">
        <f aca="false">MAX(0,E87+K87-Z87)</f>
        <v>0</v>
      </c>
      <c r="AG87" s="15" t="n">
        <f aca="false">MAX(0,F87+L87-AA87)</f>
        <v>0</v>
      </c>
      <c r="AH87" s="15" t="n">
        <f aca="false">MAX(0,G87+M87-AB87)</f>
        <v>0</v>
      </c>
      <c r="AI87" s="15" t="n">
        <f aca="false">SUM(H87:M87)</f>
        <v>0</v>
      </c>
      <c r="AJ87" s="15" t="n">
        <f aca="false">SUM(AC87:AH87)</f>
        <v>0</v>
      </c>
    </row>
    <row r="88" customFormat="false" ht="15" hidden="false" customHeight="false" outlineLevel="0" collapsed="false">
      <c r="A88" s="0" t="n">
        <v>84</v>
      </c>
      <c r="B88" s="15" t="n">
        <f aca="false">AC87</f>
        <v>0</v>
      </c>
      <c r="C88" s="15" t="n">
        <f aca="false">AD87</f>
        <v>0</v>
      </c>
      <c r="D88" s="15" t="n">
        <f aca="false">AE87</f>
        <v>0</v>
      </c>
      <c r="E88" s="15" t="n">
        <f aca="false">AF87</f>
        <v>0</v>
      </c>
      <c r="F88" s="15" t="n">
        <f aca="false">AG87</f>
        <v>0</v>
      </c>
      <c r="G88" s="15" t="n">
        <f aca="false">AH87</f>
        <v>0</v>
      </c>
      <c r="H88" s="15" t="n">
        <f aca="false">B88*N(Debts!C7)/12</f>
        <v>0</v>
      </c>
      <c r="I88" s="15" t="n">
        <f aca="false">C88*N(Debts!C8)/12</f>
        <v>0</v>
      </c>
      <c r="J88" s="15" t="n">
        <f aca="false">D88*N(Debts!C9)/12</f>
        <v>0</v>
      </c>
      <c r="K88" s="15" t="n">
        <f aca="false">E88*N(Debts!C10)/12</f>
        <v>0</v>
      </c>
      <c r="L88" s="15" t="n">
        <f aca="false">F88*N(Debts!C11)/12</f>
        <v>0</v>
      </c>
      <c r="M88" s="15" t="n">
        <f aca="false">G88*N(Debts!C12)/12</f>
        <v>0</v>
      </c>
      <c r="N88" s="15" t="n">
        <f aca="false">MIN(B88+H88,N(Debts!D7))</f>
        <v>0</v>
      </c>
      <c r="O88" s="15" t="n">
        <f aca="false">MIN(C88+I88,N(Debts!D8))</f>
        <v>0</v>
      </c>
      <c r="P88" s="15" t="n">
        <f aca="false">MIN(D88+J88,N(Debts!D9))</f>
        <v>0</v>
      </c>
      <c r="Q88" s="15" t="n">
        <f aca="false">MIN(E88+K88,N(Debts!D10))</f>
        <v>0</v>
      </c>
      <c r="R88" s="15" t="n">
        <f aca="false">MIN(F88+L88,N(Debts!D11))</f>
        <v>0</v>
      </c>
      <c r="S88" s="15" t="n">
        <f aca="false">MIN(G88+M88,N(Debts!D12))</f>
        <v>0</v>
      </c>
      <c r="T88" s="15" t="n">
        <f aca="false">Debts!$B$14</f>
        <v>286</v>
      </c>
      <c r="U88" s="15" t="n">
        <f aca="false">MAX(0,T88-SUM(N88:S88))</f>
        <v>286</v>
      </c>
      <c r="V88" s="16" t="n">
        <f aca="false">_xlfn.MINIFS($B$3:$G$3,B88:G88,"&gt;0.005")</f>
        <v>0</v>
      </c>
      <c r="W88" s="15" t="n">
        <f aca="false">IF(B88&lt;=0.005,0,MIN(B88+H88,N88+IF(B$3=$V88,$U88,0)))</f>
        <v>0</v>
      </c>
      <c r="X88" s="15" t="n">
        <f aca="false">IF(C88&lt;=0.005,0,MIN(C88+I88,O88+IF(C$3=$V88,$U88,0)))</f>
        <v>0</v>
      </c>
      <c r="Y88" s="15" t="n">
        <f aca="false">IF(D88&lt;=0.005,0,MIN(D88+J88,P88+IF(D$3=$V88,$U88,0)))</f>
        <v>0</v>
      </c>
      <c r="Z88" s="15" t="n">
        <f aca="false">IF(E88&lt;=0.005,0,MIN(E88+K88,Q88+IF(E$3=$V88,$U88,0)))</f>
        <v>0</v>
      </c>
      <c r="AA88" s="15" t="n">
        <f aca="false">IF(F88&lt;=0.005,0,MIN(F88+L88,R88+IF(F$3=$V88,$U88,0)))</f>
        <v>0</v>
      </c>
      <c r="AB88" s="15" t="n">
        <f aca="false">IF(G88&lt;=0.005,0,MIN(G88+M88,S88+IF(G$3=$V88,$U88,0)))</f>
        <v>0</v>
      </c>
      <c r="AC88" s="15" t="n">
        <f aca="false">MAX(0,B88+H88-W88)</f>
        <v>0</v>
      </c>
      <c r="AD88" s="15" t="n">
        <f aca="false">MAX(0,C88+I88-X88)</f>
        <v>0</v>
      </c>
      <c r="AE88" s="15" t="n">
        <f aca="false">MAX(0,D88+J88-Y88)</f>
        <v>0</v>
      </c>
      <c r="AF88" s="15" t="n">
        <f aca="false">MAX(0,E88+K88-Z88)</f>
        <v>0</v>
      </c>
      <c r="AG88" s="15" t="n">
        <f aca="false">MAX(0,F88+L88-AA88)</f>
        <v>0</v>
      </c>
      <c r="AH88" s="15" t="n">
        <f aca="false">MAX(0,G88+M88-AB88)</f>
        <v>0</v>
      </c>
      <c r="AI88" s="15" t="n">
        <f aca="false">SUM(H88:M88)</f>
        <v>0</v>
      </c>
      <c r="AJ88" s="15" t="n">
        <f aca="false">SUM(AC88:AH88)</f>
        <v>0</v>
      </c>
    </row>
    <row r="89" customFormat="false" ht="15" hidden="false" customHeight="false" outlineLevel="0" collapsed="false">
      <c r="A89" s="0" t="n">
        <v>85</v>
      </c>
      <c r="B89" s="15" t="n">
        <f aca="false">AC88</f>
        <v>0</v>
      </c>
      <c r="C89" s="15" t="n">
        <f aca="false">AD88</f>
        <v>0</v>
      </c>
      <c r="D89" s="15" t="n">
        <f aca="false">AE88</f>
        <v>0</v>
      </c>
      <c r="E89" s="15" t="n">
        <f aca="false">AF88</f>
        <v>0</v>
      </c>
      <c r="F89" s="15" t="n">
        <f aca="false">AG88</f>
        <v>0</v>
      </c>
      <c r="G89" s="15" t="n">
        <f aca="false">AH88</f>
        <v>0</v>
      </c>
      <c r="H89" s="15" t="n">
        <f aca="false">B89*N(Debts!C7)/12</f>
        <v>0</v>
      </c>
      <c r="I89" s="15" t="n">
        <f aca="false">C89*N(Debts!C8)/12</f>
        <v>0</v>
      </c>
      <c r="J89" s="15" t="n">
        <f aca="false">D89*N(Debts!C9)/12</f>
        <v>0</v>
      </c>
      <c r="K89" s="15" t="n">
        <f aca="false">E89*N(Debts!C10)/12</f>
        <v>0</v>
      </c>
      <c r="L89" s="15" t="n">
        <f aca="false">F89*N(Debts!C11)/12</f>
        <v>0</v>
      </c>
      <c r="M89" s="15" t="n">
        <f aca="false">G89*N(Debts!C12)/12</f>
        <v>0</v>
      </c>
      <c r="N89" s="15" t="n">
        <f aca="false">MIN(B89+H89,N(Debts!D7))</f>
        <v>0</v>
      </c>
      <c r="O89" s="15" t="n">
        <f aca="false">MIN(C89+I89,N(Debts!D8))</f>
        <v>0</v>
      </c>
      <c r="P89" s="15" t="n">
        <f aca="false">MIN(D89+J89,N(Debts!D9))</f>
        <v>0</v>
      </c>
      <c r="Q89" s="15" t="n">
        <f aca="false">MIN(E89+K89,N(Debts!D10))</f>
        <v>0</v>
      </c>
      <c r="R89" s="15" t="n">
        <f aca="false">MIN(F89+L89,N(Debts!D11))</f>
        <v>0</v>
      </c>
      <c r="S89" s="15" t="n">
        <f aca="false">MIN(G89+M89,N(Debts!D12))</f>
        <v>0</v>
      </c>
      <c r="T89" s="15" t="n">
        <f aca="false">Debts!$B$14</f>
        <v>286</v>
      </c>
      <c r="U89" s="15" t="n">
        <f aca="false">MAX(0,T89-SUM(N89:S89))</f>
        <v>286</v>
      </c>
      <c r="V89" s="16" t="n">
        <f aca="false">_xlfn.MINIFS($B$3:$G$3,B89:G89,"&gt;0.005")</f>
        <v>0</v>
      </c>
      <c r="W89" s="15" t="n">
        <f aca="false">IF(B89&lt;=0.005,0,MIN(B89+H89,N89+IF(B$3=$V89,$U89,0)))</f>
        <v>0</v>
      </c>
      <c r="X89" s="15" t="n">
        <f aca="false">IF(C89&lt;=0.005,0,MIN(C89+I89,O89+IF(C$3=$V89,$U89,0)))</f>
        <v>0</v>
      </c>
      <c r="Y89" s="15" t="n">
        <f aca="false">IF(D89&lt;=0.005,0,MIN(D89+J89,P89+IF(D$3=$V89,$U89,0)))</f>
        <v>0</v>
      </c>
      <c r="Z89" s="15" t="n">
        <f aca="false">IF(E89&lt;=0.005,0,MIN(E89+K89,Q89+IF(E$3=$V89,$U89,0)))</f>
        <v>0</v>
      </c>
      <c r="AA89" s="15" t="n">
        <f aca="false">IF(F89&lt;=0.005,0,MIN(F89+L89,R89+IF(F$3=$V89,$U89,0)))</f>
        <v>0</v>
      </c>
      <c r="AB89" s="15" t="n">
        <f aca="false">IF(G89&lt;=0.005,0,MIN(G89+M89,S89+IF(G$3=$V89,$U89,0)))</f>
        <v>0</v>
      </c>
      <c r="AC89" s="15" t="n">
        <f aca="false">MAX(0,B89+H89-W89)</f>
        <v>0</v>
      </c>
      <c r="AD89" s="15" t="n">
        <f aca="false">MAX(0,C89+I89-X89)</f>
        <v>0</v>
      </c>
      <c r="AE89" s="15" t="n">
        <f aca="false">MAX(0,D89+J89-Y89)</f>
        <v>0</v>
      </c>
      <c r="AF89" s="15" t="n">
        <f aca="false">MAX(0,E89+K89-Z89)</f>
        <v>0</v>
      </c>
      <c r="AG89" s="15" t="n">
        <f aca="false">MAX(0,F89+L89-AA89)</f>
        <v>0</v>
      </c>
      <c r="AH89" s="15" t="n">
        <f aca="false">MAX(0,G89+M89-AB89)</f>
        <v>0</v>
      </c>
      <c r="AI89" s="15" t="n">
        <f aca="false">SUM(H89:M89)</f>
        <v>0</v>
      </c>
      <c r="AJ89" s="15" t="n">
        <f aca="false">SUM(AC89:AH89)</f>
        <v>0</v>
      </c>
    </row>
    <row r="90" customFormat="false" ht="15" hidden="false" customHeight="false" outlineLevel="0" collapsed="false">
      <c r="A90" s="0" t="n">
        <v>86</v>
      </c>
      <c r="B90" s="15" t="n">
        <f aca="false">AC89</f>
        <v>0</v>
      </c>
      <c r="C90" s="15" t="n">
        <f aca="false">AD89</f>
        <v>0</v>
      </c>
      <c r="D90" s="15" t="n">
        <f aca="false">AE89</f>
        <v>0</v>
      </c>
      <c r="E90" s="15" t="n">
        <f aca="false">AF89</f>
        <v>0</v>
      </c>
      <c r="F90" s="15" t="n">
        <f aca="false">AG89</f>
        <v>0</v>
      </c>
      <c r="G90" s="15" t="n">
        <f aca="false">AH89</f>
        <v>0</v>
      </c>
      <c r="H90" s="15" t="n">
        <f aca="false">B90*N(Debts!C7)/12</f>
        <v>0</v>
      </c>
      <c r="I90" s="15" t="n">
        <f aca="false">C90*N(Debts!C8)/12</f>
        <v>0</v>
      </c>
      <c r="J90" s="15" t="n">
        <f aca="false">D90*N(Debts!C9)/12</f>
        <v>0</v>
      </c>
      <c r="K90" s="15" t="n">
        <f aca="false">E90*N(Debts!C10)/12</f>
        <v>0</v>
      </c>
      <c r="L90" s="15" t="n">
        <f aca="false">F90*N(Debts!C11)/12</f>
        <v>0</v>
      </c>
      <c r="M90" s="15" t="n">
        <f aca="false">G90*N(Debts!C12)/12</f>
        <v>0</v>
      </c>
      <c r="N90" s="15" t="n">
        <f aca="false">MIN(B90+H90,N(Debts!D7))</f>
        <v>0</v>
      </c>
      <c r="O90" s="15" t="n">
        <f aca="false">MIN(C90+I90,N(Debts!D8))</f>
        <v>0</v>
      </c>
      <c r="P90" s="15" t="n">
        <f aca="false">MIN(D90+J90,N(Debts!D9))</f>
        <v>0</v>
      </c>
      <c r="Q90" s="15" t="n">
        <f aca="false">MIN(E90+K90,N(Debts!D10))</f>
        <v>0</v>
      </c>
      <c r="R90" s="15" t="n">
        <f aca="false">MIN(F90+L90,N(Debts!D11))</f>
        <v>0</v>
      </c>
      <c r="S90" s="15" t="n">
        <f aca="false">MIN(G90+M90,N(Debts!D12))</f>
        <v>0</v>
      </c>
      <c r="T90" s="15" t="n">
        <f aca="false">Debts!$B$14</f>
        <v>286</v>
      </c>
      <c r="U90" s="15" t="n">
        <f aca="false">MAX(0,T90-SUM(N90:S90))</f>
        <v>286</v>
      </c>
      <c r="V90" s="16" t="n">
        <f aca="false">_xlfn.MINIFS($B$3:$G$3,B90:G90,"&gt;0.005")</f>
        <v>0</v>
      </c>
      <c r="W90" s="15" t="n">
        <f aca="false">IF(B90&lt;=0.005,0,MIN(B90+H90,N90+IF(B$3=$V90,$U90,0)))</f>
        <v>0</v>
      </c>
      <c r="X90" s="15" t="n">
        <f aca="false">IF(C90&lt;=0.005,0,MIN(C90+I90,O90+IF(C$3=$V90,$U90,0)))</f>
        <v>0</v>
      </c>
      <c r="Y90" s="15" t="n">
        <f aca="false">IF(D90&lt;=0.005,0,MIN(D90+J90,P90+IF(D$3=$V90,$U90,0)))</f>
        <v>0</v>
      </c>
      <c r="Z90" s="15" t="n">
        <f aca="false">IF(E90&lt;=0.005,0,MIN(E90+K90,Q90+IF(E$3=$V90,$U90,0)))</f>
        <v>0</v>
      </c>
      <c r="AA90" s="15" t="n">
        <f aca="false">IF(F90&lt;=0.005,0,MIN(F90+L90,R90+IF(F$3=$V90,$U90,0)))</f>
        <v>0</v>
      </c>
      <c r="AB90" s="15" t="n">
        <f aca="false">IF(G90&lt;=0.005,0,MIN(G90+M90,S90+IF(G$3=$V90,$U90,0)))</f>
        <v>0</v>
      </c>
      <c r="AC90" s="15" t="n">
        <f aca="false">MAX(0,B90+H90-W90)</f>
        <v>0</v>
      </c>
      <c r="AD90" s="15" t="n">
        <f aca="false">MAX(0,C90+I90-X90)</f>
        <v>0</v>
      </c>
      <c r="AE90" s="15" t="n">
        <f aca="false">MAX(0,D90+J90-Y90)</f>
        <v>0</v>
      </c>
      <c r="AF90" s="15" t="n">
        <f aca="false">MAX(0,E90+K90-Z90)</f>
        <v>0</v>
      </c>
      <c r="AG90" s="15" t="n">
        <f aca="false">MAX(0,F90+L90-AA90)</f>
        <v>0</v>
      </c>
      <c r="AH90" s="15" t="n">
        <f aca="false">MAX(0,G90+M90-AB90)</f>
        <v>0</v>
      </c>
      <c r="AI90" s="15" t="n">
        <f aca="false">SUM(H90:M90)</f>
        <v>0</v>
      </c>
      <c r="AJ90" s="15" t="n">
        <f aca="false">SUM(AC90:AH90)</f>
        <v>0</v>
      </c>
    </row>
    <row r="91" customFormat="false" ht="15" hidden="false" customHeight="false" outlineLevel="0" collapsed="false">
      <c r="A91" s="0" t="n">
        <v>87</v>
      </c>
      <c r="B91" s="15" t="n">
        <f aca="false">AC90</f>
        <v>0</v>
      </c>
      <c r="C91" s="15" t="n">
        <f aca="false">AD90</f>
        <v>0</v>
      </c>
      <c r="D91" s="15" t="n">
        <f aca="false">AE90</f>
        <v>0</v>
      </c>
      <c r="E91" s="15" t="n">
        <f aca="false">AF90</f>
        <v>0</v>
      </c>
      <c r="F91" s="15" t="n">
        <f aca="false">AG90</f>
        <v>0</v>
      </c>
      <c r="G91" s="15" t="n">
        <f aca="false">AH90</f>
        <v>0</v>
      </c>
      <c r="H91" s="15" t="n">
        <f aca="false">B91*N(Debts!C7)/12</f>
        <v>0</v>
      </c>
      <c r="I91" s="15" t="n">
        <f aca="false">C91*N(Debts!C8)/12</f>
        <v>0</v>
      </c>
      <c r="J91" s="15" t="n">
        <f aca="false">D91*N(Debts!C9)/12</f>
        <v>0</v>
      </c>
      <c r="K91" s="15" t="n">
        <f aca="false">E91*N(Debts!C10)/12</f>
        <v>0</v>
      </c>
      <c r="L91" s="15" t="n">
        <f aca="false">F91*N(Debts!C11)/12</f>
        <v>0</v>
      </c>
      <c r="M91" s="15" t="n">
        <f aca="false">G91*N(Debts!C12)/12</f>
        <v>0</v>
      </c>
      <c r="N91" s="15" t="n">
        <f aca="false">MIN(B91+H91,N(Debts!D7))</f>
        <v>0</v>
      </c>
      <c r="O91" s="15" t="n">
        <f aca="false">MIN(C91+I91,N(Debts!D8))</f>
        <v>0</v>
      </c>
      <c r="P91" s="15" t="n">
        <f aca="false">MIN(D91+J91,N(Debts!D9))</f>
        <v>0</v>
      </c>
      <c r="Q91" s="15" t="n">
        <f aca="false">MIN(E91+K91,N(Debts!D10))</f>
        <v>0</v>
      </c>
      <c r="R91" s="15" t="n">
        <f aca="false">MIN(F91+L91,N(Debts!D11))</f>
        <v>0</v>
      </c>
      <c r="S91" s="15" t="n">
        <f aca="false">MIN(G91+M91,N(Debts!D12))</f>
        <v>0</v>
      </c>
      <c r="T91" s="15" t="n">
        <f aca="false">Debts!$B$14</f>
        <v>286</v>
      </c>
      <c r="U91" s="15" t="n">
        <f aca="false">MAX(0,T91-SUM(N91:S91))</f>
        <v>286</v>
      </c>
      <c r="V91" s="16" t="n">
        <f aca="false">_xlfn.MINIFS($B$3:$G$3,B91:G91,"&gt;0.005")</f>
        <v>0</v>
      </c>
      <c r="W91" s="15" t="n">
        <f aca="false">IF(B91&lt;=0.005,0,MIN(B91+H91,N91+IF(B$3=$V91,$U91,0)))</f>
        <v>0</v>
      </c>
      <c r="X91" s="15" t="n">
        <f aca="false">IF(C91&lt;=0.005,0,MIN(C91+I91,O91+IF(C$3=$V91,$U91,0)))</f>
        <v>0</v>
      </c>
      <c r="Y91" s="15" t="n">
        <f aca="false">IF(D91&lt;=0.005,0,MIN(D91+J91,P91+IF(D$3=$V91,$U91,0)))</f>
        <v>0</v>
      </c>
      <c r="Z91" s="15" t="n">
        <f aca="false">IF(E91&lt;=0.005,0,MIN(E91+K91,Q91+IF(E$3=$V91,$U91,0)))</f>
        <v>0</v>
      </c>
      <c r="AA91" s="15" t="n">
        <f aca="false">IF(F91&lt;=0.005,0,MIN(F91+L91,R91+IF(F$3=$V91,$U91,0)))</f>
        <v>0</v>
      </c>
      <c r="AB91" s="15" t="n">
        <f aca="false">IF(G91&lt;=0.005,0,MIN(G91+M91,S91+IF(G$3=$V91,$U91,0)))</f>
        <v>0</v>
      </c>
      <c r="AC91" s="15" t="n">
        <f aca="false">MAX(0,B91+H91-W91)</f>
        <v>0</v>
      </c>
      <c r="AD91" s="15" t="n">
        <f aca="false">MAX(0,C91+I91-X91)</f>
        <v>0</v>
      </c>
      <c r="AE91" s="15" t="n">
        <f aca="false">MAX(0,D91+J91-Y91)</f>
        <v>0</v>
      </c>
      <c r="AF91" s="15" t="n">
        <f aca="false">MAX(0,E91+K91-Z91)</f>
        <v>0</v>
      </c>
      <c r="AG91" s="15" t="n">
        <f aca="false">MAX(0,F91+L91-AA91)</f>
        <v>0</v>
      </c>
      <c r="AH91" s="15" t="n">
        <f aca="false">MAX(0,G91+M91-AB91)</f>
        <v>0</v>
      </c>
      <c r="AI91" s="15" t="n">
        <f aca="false">SUM(H91:M91)</f>
        <v>0</v>
      </c>
      <c r="AJ91" s="15" t="n">
        <f aca="false">SUM(AC91:AH91)</f>
        <v>0</v>
      </c>
    </row>
    <row r="92" customFormat="false" ht="15" hidden="false" customHeight="false" outlineLevel="0" collapsed="false">
      <c r="A92" s="0" t="n">
        <v>88</v>
      </c>
      <c r="B92" s="15" t="n">
        <f aca="false">AC91</f>
        <v>0</v>
      </c>
      <c r="C92" s="15" t="n">
        <f aca="false">AD91</f>
        <v>0</v>
      </c>
      <c r="D92" s="15" t="n">
        <f aca="false">AE91</f>
        <v>0</v>
      </c>
      <c r="E92" s="15" t="n">
        <f aca="false">AF91</f>
        <v>0</v>
      </c>
      <c r="F92" s="15" t="n">
        <f aca="false">AG91</f>
        <v>0</v>
      </c>
      <c r="G92" s="15" t="n">
        <f aca="false">AH91</f>
        <v>0</v>
      </c>
      <c r="H92" s="15" t="n">
        <f aca="false">B92*N(Debts!C7)/12</f>
        <v>0</v>
      </c>
      <c r="I92" s="15" t="n">
        <f aca="false">C92*N(Debts!C8)/12</f>
        <v>0</v>
      </c>
      <c r="J92" s="15" t="n">
        <f aca="false">D92*N(Debts!C9)/12</f>
        <v>0</v>
      </c>
      <c r="K92" s="15" t="n">
        <f aca="false">E92*N(Debts!C10)/12</f>
        <v>0</v>
      </c>
      <c r="L92" s="15" t="n">
        <f aca="false">F92*N(Debts!C11)/12</f>
        <v>0</v>
      </c>
      <c r="M92" s="15" t="n">
        <f aca="false">G92*N(Debts!C12)/12</f>
        <v>0</v>
      </c>
      <c r="N92" s="15" t="n">
        <f aca="false">MIN(B92+H92,N(Debts!D7))</f>
        <v>0</v>
      </c>
      <c r="O92" s="15" t="n">
        <f aca="false">MIN(C92+I92,N(Debts!D8))</f>
        <v>0</v>
      </c>
      <c r="P92" s="15" t="n">
        <f aca="false">MIN(D92+J92,N(Debts!D9))</f>
        <v>0</v>
      </c>
      <c r="Q92" s="15" t="n">
        <f aca="false">MIN(E92+K92,N(Debts!D10))</f>
        <v>0</v>
      </c>
      <c r="R92" s="15" t="n">
        <f aca="false">MIN(F92+L92,N(Debts!D11))</f>
        <v>0</v>
      </c>
      <c r="S92" s="15" t="n">
        <f aca="false">MIN(G92+M92,N(Debts!D12))</f>
        <v>0</v>
      </c>
      <c r="T92" s="15" t="n">
        <f aca="false">Debts!$B$14</f>
        <v>286</v>
      </c>
      <c r="U92" s="15" t="n">
        <f aca="false">MAX(0,T92-SUM(N92:S92))</f>
        <v>286</v>
      </c>
      <c r="V92" s="16" t="n">
        <f aca="false">_xlfn.MINIFS($B$3:$G$3,B92:G92,"&gt;0.005")</f>
        <v>0</v>
      </c>
      <c r="W92" s="15" t="n">
        <f aca="false">IF(B92&lt;=0.005,0,MIN(B92+H92,N92+IF(B$3=$V92,$U92,0)))</f>
        <v>0</v>
      </c>
      <c r="X92" s="15" t="n">
        <f aca="false">IF(C92&lt;=0.005,0,MIN(C92+I92,O92+IF(C$3=$V92,$U92,0)))</f>
        <v>0</v>
      </c>
      <c r="Y92" s="15" t="n">
        <f aca="false">IF(D92&lt;=0.005,0,MIN(D92+J92,P92+IF(D$3=$V92,$U92,0)))</f>
        <v>0</v>
      </c>
      <c r="Z92" s="15" t="n">
        <f aca="false">IF(E92&lt;=0.005,0,MIN(E92+K92,Q92+IF(E$3=$V92,$U92,0)))</f>
        <v>0</v>
      </c>
      <c r="AA92" s="15" t="n">
        <f aca="false">IF(F92&lt;=0.005,0,MIN(F92+L92,R92+IF(F$3=$V92,$U92,0)))</f>
        <v>0</v>
      </c>
      <c r="AB92" s="15" t="n">
        <f aca="false">IF(G92&lt;=0.005,0,MIN(G92+M92,S92+IF(G$3=$V92,$U92,0)))</f>
        <v>0</v>
      </c>
      <c r="AC92" s="15" t="n">
        <f aca="false">MAX(0,B92+H92-W92)</f>
        <v>0</v>
      </c>
      <c r="AD92" s="15" t="n">
        <f aca="false">MAX(0,C92+I92-X92)</f>
        <v>0</v>
      </c>
      <c r="AE92" s="15" t="n">
        <f aca="false">MAX(0,D92+J92-Y92)</f>
        <v>0</v>
      </c>
      <c r="AF92" s="15" t="n">
        <f aca="false">MAX(0,E92+K92-Z92)</f>
        <v>0</v>
      </c>
      <c r="AG92" s="15" t="n">
        <f aca="false">MAX(0,F92+L92-AA92)</f>
        <v>0</v>
      </c>
      <c r="AH92" s="15" t="n">
        <f aca="false">MAX(0,G92+M92-AB92)</f>
        <v>0</v>
      </c>
      <c r="AI92" s="15" t="n">
        <f aca="false">SUM(H92:M92)</f>
        <v>0</v>
      </c>
      <c r="AJ92" s="15" t="n">
        <f aca="false">SUM(AC92:AH92)</f>
        <v>0</v>
      </c>
    </row>
    <row r="93" customFormat="false" ht="15" hidden="false" customHeight="false" outlineLevel="0" collapsed="false">
      <c r="A93" s="0" t="n">
        <v>89</v>
      </c>
      <c r="B93" s="15" t="n">
        <f aca="false">AC92</f>
        <v>0</v>
      </c>
      <c r="C93" s="15" t="n">
        <f aca="false">AD92</f>
        <v>0</v>
      </c>
      <c r="D93" s="15" t="n">
        <f aca="false">AE92</f>
        <v>0</v>
      </c>
      <c r="E93" s="15" t="n">
        <f aca="false">AF92</f>
        <v>0</v>
      </c>
      <c r="F93" s="15" t="n">
        <f aca="false">AG92</f>
        <v>0</v>
      </c>
      <c r="G93" s="15" t="n">
        <f aca="false">AH92</f>
        <v>0</v>
      </c>
      <c r="H93" s="15" t="n">
        <f aca="false">B93*N(Debts!C7)/12</f>
        <v>0</v>
      </c>
      <c r="I93" s="15" t="n">
        <f aca="false">C93*N(Debts!C8)/12</f>
        <v>0</v>
      </c>
      <c r="J93" s="15" t="n">
        <f aca="false">D93*N(Debts!C9)/12</f>
        <v>0</v>
      </c>
      <c r="K93" s="15" t="n">
        <f aca="false">E93*N(Debts!C10)/12</f>
        <v>0</v>
      </c>
      <c r="L93" s="15" t="n">
        <f aca="false">F93*N(Debts!C11)/12</f>
        <v>0</v>
      </c>
      <c r="M93" s="15" t="n">
        <f aca="false">G93*N(Debts!C12)/12</f>
        <v>0</v>
      </c>
      <c r="N93" s="15" t="n">
        <f aca="false">MIN(B93+H93,N(Debts!D7))</f>
        <v>0</v>
      </c>
      <c r="O93" s="15" t="n">
        <f aca="false">MIN(C93+I93,N(Debts!D8))</f>
        <v>0</v>
      </c>
      <c r="P93" s="15" t="n">
        <f aca="false">MIN(D93+J93,N(Debts!D9))</f>
        <v>0</v>
      </c>
      <c r="Q93" s="15" t="n">
        <f aca="false">MIN(E93+K93,N(Debts!D10))</f>
        <v>0</v>
      </c>
      <c r="R93" s="15" t="n">
        <f aca="false">MIN(F93+L93,N(Debts!D11))</f>
        <v>0</v>
      </c>
      <c r="S93" s="15" t="n">
        <f aca="false">MIN(G93+M93,N(Debts!D12))</f>
        <v>0</v>
      </c>
      <c r="T93" s="15" t="n">
        <f aca="false">Debts!$B$14</f>
        <v>286</v>
      </c>
      <c r="U93" s="15" t="n">
        <f aca="false">MAX(0,T93-SUM(N93:S93))</f>
        <v>286</v>
      </c>
      <c r="V93" s="16" t="n">
        <f aca="false">_xlfn.MINIFS($B$3:$G$3,B93:G93,"&gt;0.005")</f>
        <v>0</v>
      </c>
      <c r="W93" s="15" t="n">
        <f aca="false">IF(B93&lt;=0.005,0,MIN(B93+H93,N93+IF(B$3=$V93,$U93,0)))</f>
        <v>0</v>
      </c>
      <c r="X93" s="15" t="n">
        <f aca="false">IF(C93&lt;=0.005,0,MIN(C93+I93,O93+IF(C$3=$V93,$U93,0)))</f>
        <v>0</v>
      </c>
      <c r="Y93" s="15" t="n">
        <f aca="false">IF(D93&lt;=0.005,0,MIN(D93+J93,P93+IF(D$3=$V93,$U93,0)))</f>
        <v>0</v>
      </c>
      <c r="Z93" s="15" t="n">
        <f aca="false">IF(E93&lt;=0.005,0,MIN(E93+K93,Q93+IF(E$3=$V93,$U93,0)))</f>
        <v>0</v>
      </c>
      <c r="AA93" s="15" t="n">
        <f aca="false">IF(F93&lt;=0.005,0,MIN(F93+L93,R93+IF(F$3=$V93,$U93,0)))</f>
        <v>0</v>
      </c>
      <c r="AB93" s="15" t="n">
        <f aca="false">IF(G93&lt;=0.005,0,MIN(G93+M93,S93+IF(G$3=$V93,$U93,0)))</f>
        <v>0</v>
      </c>
      <c r="AC93" s="15" t="n">
        <f aca="false">MAX(0,B93+H93-W93)</f>
        <v>0</v>
      </c>
      <c r="AD93" s="15" t="n">
        <f aca="false">MAX(0,C93+I93-X93)</f>
        <v>0</v>
      </c>
      <c r="AE93" s="15" t="n">
        <f aca="false">MAX(0,D93+J93-Y93)</f>
        <v>0</v>
      </c>
      <c r="AF93" s="15" t="n">
        <f aca="false">MAX(0,E93+K93-Z93)</f>
        <v>0</v>
      </c>
      <c r="AG93" s="15" t="n">
        <f aca="false">MAX(0,F93+L93-AA93)</f>
        <v>0</v>
      </c>
      <c r="AH93" s="15" t="n">
        <f aca="false">MAX(0,G93+M93-AB93)</f>
        <v>0</v>
      </c>
      <c r="AI93" s="15" t="n">
        <f aca="false">SUM(H93:M93)</f>
        <v>0</v>
      </c>
      <c r="AJ93" s="15" t="n">
        <f aca="false">SUM(AC93:AH93)</f>
        <v>0</v>
      </c>
    </row>
    <row r="94" customFormat="false" ht="15" hidden="false" customHeight="false" outlineLevel="0" collapsed="false">
      <c r="A94" s="0" t="n">
        <v>90</v>
      </c>
      <c r="B94" s="15" t="n">
        <f aca="false">AC93</f>
        <v>0</v>
      </c>
      <c r="C94" s="15" t="n">
        <f aca="false">AD93</f>
        <v>0</v>
      </c>
      <c r="D94" s="15" t="n">
        <f aca="false">AE93</f>
        <v>0</v>
      </c>
      <c r="E94" s="15" t="n">
        <f aca="false">AF93</f>
        <v>0</v>
      </c>
      <c r="F94" s="15" t="n">
        <f aca="false">AG93</f>
        <v>0</v>
      </c>
      <c r="G94" s="15" t="n">
        <f aca="false">AH93</f>
        <v>0</v>
      </c>
      <c r="H94" s="15" t="n">
        <f aca="false">B94*N(Debts!C7)/12</f>
        <v>0</v>
      </c>
      <c r="I94" s="15" t="n">
        <f aca="false">C94*N(Debts!C8)/12</f>
        <v>0</v>
      </c>
      <c r="J94" s="15" t="n">
        <f aca="false">D94*N(Debts!C9)/12</f>
        <v>0</v>
      </c>
      <c r="K94" s="15" t="n">
        <f aca="false">E94*N(Debts!C10)/12</f>
        <v>0</v>
      </c>
      <c r="L94" s="15" t="n">
        <f aca="false">F94*N(Debts!C11)/12</f>
        <v>0</v>
      </c>
      <c r="M94" s="15" t="n">
        <f aca="false">G94*N(Debts!C12)/12</f>
        <v>0</v>
      </c>
      <c r="N94" s="15" t="n">
        <f aca="false">MIN(B94+H94,N(Debts!D7))</f>
        <v>0</v>
      </c>
      <c r="O94" s="15" t="n">
        <f aca="false">MIN(C94+I94,N(Debts!D8))</f>
        <v>0</v>
      </c>
      <c r="P94" s="15" t="n">
        <f aca="false">MIN(D94+J94,N(Debts!D9))</f>
        <v>0</v>
      </c>
      <c r="Q94" s="15" t="n">
        <f aca="false">MIN(E94+K94,N(Debts!D10))</f>
        <v>0</v>
      </c>
      <c r="R94" s="15" t="n">
        <f aca="false">MIN(F94+L94,N(Debts!D11))</f>
        <v>0</v>
      </c>
      <c r="S94" s="15" t="n">
        <f aca="false">MIN(G94+M94,N(Debts!D12))</f>
        <v>0</v>
      </c>
      <c r="T94" s="15" t="n">
        <f aca="false">Debts!$B$14</f>
        <v>286</v>
      </c>
      <c r="U94" s="15" t="n">
        <f aca="false">MAX(0,T94-SUM(N94:S94))</f>
        <v>286</v>
      </c>
      <c r="V94" s="16" t="n">
        <f aca="false">_xlfn.MINIFS($B$3:$G$3,B94:G94,"&gt;0.005")</f>
        <v>0</v>
      </c>
      <c r="W94" s="15" t="n">
        <f aca="false">IF(B94&lt;=0.005,0,MIN(B94+H94,N94+IF(B$3=$V94,$U94,0)))</f>
        <v>0</v>
      </c>
      <c r="X94" s="15" t="n">
        <f aca="false">IF(C94&lt;=0.005,0,MIN(C94+I94,O94+IF(C$3=$V94,$U94,0)))</f>
        <v>0</v>
      </c>
      <c r="Y94" s="15" t="n">
        <f aca="false">IF(D94&lt;=0.005,0,MIN(D94+J94,P94+IF(D$3=$V94,$U94,0)))</f>
        <v>0</v>
      </c>
      <c r="Z94" s="15" t="n">
        <f aca="false">IF(E94&lt;=0.005,0,MIN(E94+K94,Q94+IF(E$3=$V94,$U94,0)))</f>
        <v>0</v>
      </c>
      <c r="AA94" s="15" t="n">
        <f aca="false">IF(F94&lt;=0.005,0,MIN(F94+L94,R94+IF(F$3=$V94,$U94,0)))</f>
        <v>0</v>
      </c>
      <c r="AB94" s="15" t="n">
        <f aca="false">IF(G94&lt;=0.005,0,MIN(G94+M94,S94+IF(G$3=$V94,$U94,0)))</f>
        <v>0</v>
      </c>
      <c r="AC94" s="15" t="n">
        <f aca="false">MAX(0,B94+H94-W94)</f>
        <v>0</v>
      </c>
      <c r="AD94" s="15" t="n">
        <f aca="false">MAX(0,C94+I94-X94)</f>
        <v>0</v>
      </c>
      <c r="AE94" s="15" t="n">
        <f aca="false">MAX(0,D94+J94-Y94)</f>
        <v>0</v>
      </c>
      <c r="AF94" s="15" t="n">
        <f aca="false">MAX(0,E94+K94-Z94)</f>
        <v>0</v>
      </c>
      <c r="AG94" s="15" t="n">
        <f aca="false">MAX(0,F94+L94-AA94)</f>
        <v>0</v>
      </c>
      <c r="AH94" s="15" t="n">
        <f aca="false">MAX(0,G94+M94-AB94)</f>
        <v>0</v>
      </c>
      <c r="AI94" s="15" t="n">
        <f aca="false">SUM(H94:M94)</f>
        <v>0</v>
      </c>
      <c r="AJ94" s="15" t="n">
        <f aca="false">SUM(AC94:AH94)</f>
        <v>0</v>
      </c>
    </row>
    <row r="95" customFormat="false" ht="15" hidden="false" customHeight="false" outlineLevel="0" collapsed="false">
      <c r="A95" s="0" t="n">
        <v>91</v>
      </c>
      <c r="B95" s="15" t="n">
        <f aca="false">AC94</f>
        <v>0</v>
      </c>
      <c r="C95" s="15" t="n">
        <f aca="false">AD94</f>
        <v>0</v>
      </c>
      <c r="D95" s="15" t="n">
        <f aca="false">AE94</f>
        <v>0</v>
      </c>
      <c r="E95" s="15" t="n">
        <f aca="false">AF94</f>
        <v>0</v>
      </c>
      <c r="F95" s="15" t="n">
        <f aca="false">AG94</f>
        <v>0</v>
      </c>
      <c r="G95" s="15" t="n">
        <f aca="false">AH94</f>
        <v>0</v>
      </c>
      <c r="H95" s="15" t="n">
        <f aca="false">B95*N(Debts!C7)/12</f>
        <v>0</v>
      </c>
      <c r="I95" s="15" t="n">
        <f aca="false">C95*N(Debts!C8)/12</f>
        <v>0</v>
      </c>
      <c r="J95" s="15" t="n">
        <f aca="false">D95*N(Debts!C9)/12</f>
        <v>0</v>
      </c>
      <c r="K95" s="15" t="n">
        <f aca="false">E95*N(Debts!C10)/12</f>
        <v>0</v>
      </c>
      <c r="L95" s="15" t="n">
        <f aca="false">F95*N(Debts!C11)/12</f>
        <v>0</v>
      </c>
      <c r="M95" s="15" t="n">
        <f aca="false">G95*N(Debts!C12)/12</f>
        <v>0</v>
      </c>
      <c r="N95" s="15" t="n">
        <f aca="false">MIN(B95+H95,N(Debts!D7))</f>
        <v>0</v>
      </c>
      <c r="O95" s="15" t="n">
        <f aca="false">MIN(C95+I95,N(Debts!D8))</f>
        <v>0</v>
      </c>
      <c r="P95" s="15" t="n">
        <f aca="false">MIN(D95+J95,N(Debts!D9))</f>
        <v>0</v>
      </c>
      <c r="Q95" s="15" t="n">
        <f aca="false">MIN(E95+K95,N(Debts!D10))</f>
        <v>0</v>
      </c>
      <c r="R95" s="15" t="n">
        <f aca="false">MIN(F95+L95,N(Debts!D11))</f>
        <v>0</v>
      </c>
      <c r="S95" s="15" t="n">
        <f aca="false">MIN(G95+M95,N(Debts!D12))</f>
        <v>0</v>
      </c>
      <c r="T95" s="15" t="n">
        <f aca="false">Debts!$B$14</f>
        <v>286</v>
      </c>
      <c r="U95" s="15" t="n">
        <f aca="false">MAX(0,T95-SUM(N95:S95))</f>
        <v>286</v>
      </c>
      <c r="V95" s="16" t="n">
        <f aca="false">_xlfn.MINIFS($B$3:$G$3,B95:G95,"&gt;0.005")</f>
        <v>0</v>
      </c>
      <c r="W95" s="15" t="n">
        <f aca="false">IF(B95&lt;=0.005,0,MIN(B95+H95,N95+IF(B$3=$V95,$U95,0)))</f>
        <v>0</v>
      </c>
      <c r="X95" s="15" t="n">
        <f aca="false">IF(C95&lt;=0.005,0,MIN(C95+I95,O95+IF(C$3=$V95,$U95,0)))</f>
        <v>0</v>
      </c>
      <c r="Y95" s="15" t="n">
        <f aca="false">IF(D95&lt;=0.005,0,MIN(D95+J95,P95+IF(D$3=$V95,$U95,0)))</f>
        <v>0</v>
      </c>
      <c r="Z95" s="15" t="n">
        <f aca="false">IF(E95&lt;=0.005,0,MIN(E95+K95,Q95+IF(E$3=$V95,$U95,0)))</f>
        <v>0</v>
      </c>
      <c r="AA95" s="15" t="n">
        <f aca="false">IF(F95&lt;=0.005,0,MIN(F95+L95,R95+IF(F$3=$V95,$U95,0)))</f>
        <v>0</v>
      </c>
      <c r="AB95" s="15" t="n">
        <f aca="false">IF(G95&lt;=0.005,0,MIN(G95+M95,S95+IF(G$3=$V95,$U95,0)))</f>
        <v>0</v>
      </c>
      <c r="AC95" s="15" t="n">
        <f aca="false">MAX(0,B95+H95-W95)</f>
        <v>0</v>
      </c>
      <c r="AD95" s="15" t="n">
        <f aca="false">MAX(0,C95+I95-X95)</f>
        <v>0</v>
      </c>
      <c r="AE95" s="15" t="n">
        <f aca="false">MAX(0,D95+J95-Y95)</f>
        <v>0</v>
      </c>
      <c r="AF95" s="15" t="n">
        <f aca="false">MAX(0,E95+K95-Z95)</f>
        <v>0</v>
      </c>
      <c r="AG95" s="15" t="n">
        <f aca="false">MAX(0,F95+L95-AA95)</f>
        <v>0</v>
      </c>
      <c r="AH95" s="15" t="n">
        <f aca="false">MAX(0,G95+M95-AB95)</f>
        <v>0</v>
      </c>
      <c r="AI95" s="15" t="n">
        <f aca="false">SUM(H95:M95)</f>
        <v>0</v>
      </c>
      <c r="AJ95" s="15" t="n">
        <f aca="false">SUM(AC95:AH95)</f>
        <v>0</v>
      </c>
    </row>
    <row r="96" customFormat="false" ht="15" hidden="false" customHeight="false" outlineLevel="0" collapsed="false">
      <c r="A96" s="0" t="n">
        <v>92</v>
      </c>
      <c r="B96" s="15" t="n">
        <f aca="false">AC95</f>
        <v>0</v>
      </c>
      <c r="C96" s="15" t="n">
        <f aca="false">AD95</f>
        <v>0</v>
      </c>
      <c r="D96" s="15" t="n">
        <f aca="false">AE95</f>
        <v>0</v>
      </c>
      <c r="E96" s="15" t="n">
        <f aca="false">AF95</f>
        <v>0</v>
      </c>
      <c r="F96" s="15" t="n">
        <f aca="false">AG95</f>
        <v>0</v>
      </c>
      <c r="G96" s="15" t="n">
        <f aca="false">AH95</f>
        <v>0</v>
      </c>
      <c r="H96" s="15" t="n">
        <f aca="false">B96*N(Debts!C7)/12</f>
        <v>0</v>
      </c>
      <c r="I96" s="15" t="n">
        <f aca="false">C96*N(Debts!C8)/12</f>
        <v>0</v>
      </c>
      <c r="J96" s="15" t="n">
        <f aca="false">D96*N(Debts!C9)/12</f>
        <v>0</v>
      </c>
      <c r="K96" s="15" t="n">
        <f aca="false">E96*N(Debts!C10)/12</f>
        <v>0</v>
      </c>
      <c r="L96" s="15" t="n">
        <f aca="false">F96*N(Debts!C11)/12</f>
        <v>0</v>
      </c>
      <c r="M96" s="15" t="n">
        <f aca="false">G96*N(Debts!C12)/12</f>
        <v>0</v>
      </c>
      <c r="N96" s="15" t="n">
        <f aca="false">MIN(B96+H96,N(Debts!D7))</f>
        <v>0</v>
      </c>
      <c r="O96" s="15" t="n">
        <f aca="false">MIN(C96+I96,N(Debts!D8))</f>
        <v>0</v>
      </c>
      <c r="P96" s="15" t="n">
        <f aca="false">MIN(D96+J96,N(Debts!D9))</f>
        <v>0</v>
      </c>
      <c r="Q96" s="15" t="n">
        <f aca="false">MIN(E96+K96,N(Debts!D10))</f>
        <v>0</v>
      </c>
      <c r="R96" s="15" t="n">
        <f aca="false">MIN(F96+L96,N(Debts!D11))</f>
        <v>0</v>
      </c>
      <c r="S96" s="15" t="n">
        <f aca="false">MIN(G96+M96,N(Debts!D12))</f>
        <v>0</v>
      </c>
      <c r="T96" s="15" t="n">
        <f aca="false">Debts!$B$14</f>
        <v>286</v>
      </c>
      <c r="U96" s="15" t="n">
        <f aca="false">MAX(0,T96-SUM(N96:S96))</f>
        <v>286</v>
      </c>
      <c r="V96" s="16" t="n">
        <f aca="false">_xlfn.MINIFS($B$3:$G$3,B96:G96,"&gt;0.005")</f>
        <v>0</v>
      </c>
      <c r="W96" s="15" t="n">
        <f aca="false">IF(B96&lt;=0.005,0,MIN(B96+H96,N96+IF(B$3=$V96,$U96,0)))</f>
        <v>0</v>
      </c>
      <c r="X96" s="15" t="n">
        <f aca="false">IF(C96&lt;=0.005,0,MIN(C96+I96,O96+IF(C$3=$V96,$U96,0)))</f>
        <v>0</v>
      </c>
      <c r="Y96" s="15" t="n">
        <f aca="false">IF(D96&lt;=0.005,0,MIN(D96+J96,P96+IF(D$3=$V96,$U96,0)))</f>
        <v>0</v>
      </c>
      <c r="Z96" s="15" t="n">
        <f aca="false">IF(E96&lt;=0.005,0,MIN(E96+K96,Q96+IF(E$3=$V96,$U96,0)))</f>
        <v>0</v>
      </c>
      <c r="AA96" s="15" t="n">
        <f aca="false">IF(F96&lt;=0.005,0,MIN(F96+L96,R96+IF(F$3=$V96,$U96,0)))</f>
        <v>0</v>
      </c>
      <c r="AB96" s="15" t="n">
        <f aca="false">IF(G96&lt;=0.005,0,MIN(G96+M96,S96+IF(G$3=$V96,$U96,0)))</f>
        <v>0</v>
      </c>
      <c r="AC96" s="15" t="n">
        <f aca="false">MAX(0,B96+H96-W96)</f>
        <v>0</v>
      </c>
      <c r="AD96" s="15" t="n">
        <f aca="false">MAX(0,C96+I96-X96)</f>
        <v>0</v>
      </c>
      <c r="AE96" s="15" t="n">
        <f aca="false">MAX(0,D96+J96-Y96)</f>
        <v>0</v>
      </c>
      <c r="AF96" s="15" t="n">
        <f aca="false">MAX(0,E96+K96-Z96)</f>
        <v>0</v>
      </c>
      <c r="AG96" s="15" t="n">
        <f aca="false">MAX(0,F96+L96-AA96)</f>
        <v>0</v>
      </c>
      <c r="AH96" s="15" t="n">
        <f aca="false">MAX(0,G96+M96-AB96)</f>
        <v>0</v>
      </c>
      <c r="AI96" s="15" t="n">
        <f aca="false">SUM(H96:M96)</f>
        <v>0</v>
      </c>
      <c r="AJ96" s="15" t="n">
        <f aca="false">SUM(AC96:AH96)</f>
        <v>0</v>
      </c>
    </row>
    <row r="97" customFormat="false" ht="15" hidden="false" customHeight="false" outlineLevel="0" collapsed="false">
      <c r="A97" s="0" t="n">
        <v>93</v>
      </c>
      <c r="B97" s="15" t="n">
        <f aca="false">AC96</f>
        <v>0</v>
      </c>
      <c r="C97" s="15" t="n">
        <f aca="false">AD96</f>
        <v>0</v>
      </c>
      <c r="D97" s="15" t="n">
        <f aca="false">AE96</f>
        <v>0</v>
      </c>
      <c r="E97" s="15" t="n">
        <f aca="false">AF96</f>
        <v>0</v>
      </c>
      <c r="F97" s="15" t="n">
        <f aca="false">AG96</f>
        <v>0</v>
      </c>
      <c r="G97" s="15" t="n">
        <f aca="false">AH96</f>
        <v>0</v>
      </c>
      <c r="H97" s="15" t="n">
        <f aca="false">B97*N(Debts!C7)/12</f>
        <v>0</v>
      </c>
      <c r="I97" s="15" t="n">
        <f aca="false">C97*N(Debts!C8)/12</f>
        <v>0</v>
      </c>
      <c r="J97" s="15" t="n">
        <f aca="false">D97*N(Debts!C9)/12</f>
        <v>0</v>
      </c>
      <c r="K97" s="15" t="n">
        <f aca="false">E97*N(Debts!C10)/12</f>
        <v>0</v>
      </c>
      <c r="L97" s="15" t="n">
        <f aca="false">F97*N(Debts!C11)/12</f>
        <v>0</v>
      </c>
      <c r="M97" s="15" t="n">
        <f aca="false">G97*N(Debts!C12)/12</f>
        <v>0</v>
      </c>
      <c r="N97" s="15" t="n">
        <f aca="false">MIN(B97+H97,N(Debts!D7))</f>
        <v>0</v>
      </c>
      <c r="O97" s="15" t="n">
        <f aca="false">MIN(C97+I97,N(Debts!D8))</f>
        <v>0</v>
      </c>
      <c r="P97" s="15" t="n">
        <f aca="false">MIN(D97+J97,N(Debts!D9))</f>
        <v>0</v>
      </c>
      <c r="Q97" s="15" t="n">
        <f aca="false">MIN(E97+K97,N(Debts!D10))</f>
        <v>0</v>
      </c>
      <c r="R97" s="15" t="n">
        <f aca="false">MIN(F97+L97,N(Debts!D11))</f>
        <v>0</v>
      </c>
      <c r="S97" s="15" t="n">
        <f aca="false">MIN(G97+M97,N(Debts!D12))</f>
        <v>0</v>
      </c>
      <c r="T97" s="15" t="n">
        <f aca="false">Debts!$B$14</f>
        <v>286</v>
      </c>
      <c r="U97" s="15" t="n">
        <f aca="false">MAX(0,T97-SUM(N97:S97))</f>
        <v>286</v>
      </c>
      <c r="V97" s="16" t="n">
        <f aca="false">_xlfn.MINIFS($B$3:$G$3,B97:G97,"&gt;0.005")</f>
        <v>0</v>
      </c>
      <c r="W97" s="15" t="n">
        <f aca="false">IF(B97&lt;=0.005,0,MIN(B97+H97,N97+IF(B$3=$V97,$U97,0)))</f>
        <v>0</v>
      </c>
      <c r="X97" s="15" t="n">
        <f aca="false">IF(C97&lt;=0.005,0,MIN(C97+I97,O97+IF(C$3=$V97,$U97,0)))</f>
        <v>0</v>
      </c>
      <c r="Y97" s="15" t="n">
        <f aca="false">IF(D97&lt;=0.005,0,MIN(D97+J97,P97+IF(D$3=$V97,$U97,0)))</f>
        <v>0</v>
      </c>
      <c r="Z97" s="15" t="n">
        <f aca="false">IF(E97&lt;=0.005,0,MIN(E97+K97,Q97+IF(E$3=$V97,$U97,0)))</f>
        <v>0</v>
      </c>
      <c r="AA97" s="15" t="n">
        <f aca="false">IF(F97&lt;=0.005,0,MIN(F97+L97,R97+IF(F$3=$V97,$U97,0)))</f>
        <v>0</v>
      </c>
      <c r="AB97" s="15" t="n">
        <f aca="false">IF(G97&lt;=0.005,0,MIN(G97+M97,S97+IF(G$3=$V97,$U97,0)))</f>
        <v>0</v>
      </c>
      <c r="AC97" s="15" t="n">
        <f aca="false">MAX(0,B97+H97-W97)</f>
        <v>0</v>
      </c>
      <c r="AD97" s="15" t="n">
        <f aca="false">MAX(0,C97+I97-X97)</f>
        <v>0</v>
      </c>
      <c r="AE97" s="15" t="n">
        <f aca="false">MAX(0,D97+J97-Y97)</f>
        <v>0</v>
      </c>
      <c r="AF97" s="15" t="n">
        <f aca="false">MAX(0,E97+K97-Z97)</f>
        <v>0</v>
      </c>
      <c r="AG97" s="15" t="n">
        <f aca="false">MAX(0,F97+L97-AA97)</f>
        <v>0</v>
      </c>
      <c r="AH97" s="15" t="n">
        <f aca="false">MAX(0,G97+M97-AB97)</f>
        <v>0</v>
      </c>
      <c r="AI97" s="15" t="n">
        <f aca="false">SUM(H97:M97)</f>
        <v>0</v>
      </c>
      <c r="AJ97" s="15" t="n">
        <f aca="false">SUM(AC97:AH97)</f>
        <v>0</v>
      </c>
    </row>
    <row r="98" customFormat="false" ht="15" hidden="false" customHeight="false" outlineLevel="0" collapsed="false">
      <c r="A98" s="0" t="n">
        <v>94</v>
      </c>
      <c r="B98" s="15" t="n">
        <f aca="false">AC97</f>
        <v>0</v>
      </c>
      <c r="C98" s="15" t="n">
        <f aca="false">AD97</f>
        <v>0</v>
      </c>
      <c r="D98" s="15" t="n">
        <f aca="false">AE97</f>
        <v>0</v>
      </c>
      <c r="E98" s="15" t="n">
        <f aca="false">AF97</f>
        <v>0</v>
      </c>
      <c r="F98" s="15" t="n">
        <f aca="false">AG97</f>
        <v>0</v>
      </c>
      <c r="G98" s="15" t="n">
        <f aca="false">AH97</f>
        <v>0</v>
      </c>
      <c r="H98" s="15" t="n">
        <f aca="false">B98*N(Debts!C7)/12</f>
        <v>0</v>
      </c>
      <c r="I98" s="15" t="n">
        <f aca="false">C98*N(Debts!C8)/12</f>
        <v>0</v>
      </c>
      <c r="J98" s="15" t="n">
        <f aca="false">D98*N(Debts!C9)/12</f>
        <v>0</v>
      </c>
      <c r="K98" s="15" t="n">
        <f aca="false">E98*N(Debts!C10)/12</f>
        <v>0</v>
      </c>
      <c r="L98" s="15" t="n">
        <f aca="false">F98*N(Debts!C11)/12</f>
        <v>0</v>
      </c>
      <c r="M98" s="15" t="n">
        <f aca="false">G98*N(Debts!C12)/12</f>
        <v>0</v>
      </c>
      <c r="N98" s="15" t="n">
        <f aca="false">MIN(B98+H98,N(Debts!D7))</f>
        <v>0</v>
      </c>
      <c r="O98" s="15" t="n">
        <f aca="false">MIN(C98+I98,N(Debts!D8))</f>
        <v>0</v>
      </c>
      <c r="P98" s="15" t="n">
        <f aca="false">MIN(D98+J98,N(Debts!D9))</f>
        <v>0</v>
      </c>
      <c r="Q98" s="15" t="n">
        <f aca="false">MIN(E98+K98,N(Debts!D10))</f>
        <v>0</v>
      </c>
      <c r="R98" s="15" t="n">
        <f aca="false">MIN(F98+L98,N(Debts!D11))</f>
        <v>0</v>
      </c>
      <c r="S98" s="15" t="n">
        <f aca="false">MIN(G98+M98,N(Debts!D12))</f>
        <v>0</v>
      </c>
      <c r="T98" s="15" t="n">
        <f aca="false">Debts!$B$14</f>
        <v>286</v>
      </c>
      <c r="U98" s="15" t="n">
        <f aca="false">MAX(0,T98-SUM(N98:S98))</f>
        <v>286</v>
      </c>
      <c r="V98" s="16" t="n">
        <f aca="false">_xlfn.MINIFS($B$3:$G$3,B98:G98,"&gt;0.005")</f>
        <v>0</v>
      </c>
      <c r="W98" s="15" t="n">
        <f aca="false">IF(B98&lt;=0.005,0,MIN(B98+H98,N98+IF(B$3=$V98,$U98,0)))</f>
        <v>0</v>
      </c>
      <c r="X98" s="15" t="n">
        <f aca="false">IF(C98&lt;=0.005,0,MIN(C98+I98,O98+IF(C$3=$V98,$U98,0)))</f>
        <v>0</v>
      </c>
      <c r="Y98" s="15" t="n">
        <f aca="false">IF(D98&lt;=0.005,0,MIN(D98+J98,P98+IF(D$3=$V98,$U98,0)))</f>
        <v>0</v>
      </c>
      <c r="Z98" s="15" t="n">
        <f aca="false">IF(E98&lt;=0.005,0,MIN(E98+K98,Q98+IF(E$3=$V98,$U98,0)))</f>
        <v>0</v>
      </c>
      <c r="AA98" s="15" t="n">
        <f aca="false">IF(F98&lt;=0.005,0,MIN(F98+L98,R98+IF(F$3=$V98,$U98,0)))</f>
        <v>0</v>
      </c>
      <c r="AB98" s="15" t="n">
        <f aca="false">IF(G98&lt;=0.005,0,MIN(G98+M98,S98+IF(G$3=$V98,$U98,0)))</f>
        <v>0</v>
      </c>
      <c r="AC98" s="15" t="n">
        <f aca="false">MAX(0,B98+H98-W98)</f>
        <v>0</v>
      </c>
      <c r="AD98" s="15" t="n">
        <f aca="false">MAX(0,C98+I98-X98)</f>
        <v>0</v>
      </c>
      <c r="AE98" s="15" t="n">
        <f aca="false">MAX(0,D98+J98-Y98)</f>
        <v>0</v>
      </c>
      <c r="AF98" s="15" t="n">
        <f aca="false">MAX(0,E98+K98-Z98)</f>
        <v>0</v>
      </c>
      <c r="AG98" s="15" t="n">
        <f aca="false">MAX(0,F98+L98-AA98)</f>
        <v>0</v>
      </c>
      <c r="AH98" s="15" t="n">
        <f aca="false">MAX(0,G98+M98-AB98)</f>
        <v>0</v>
      </c>
      <c r="AI98" s="15" t="n">
        <f aca="false">SUM(H98:M98)</f>
        <v>0</v>
      </c>
      <c r="AJ98" s="15" t="n">
        <f aca="false">SUM(AC98:AH98)</f>
        <v>0</v>
      </c>
    </row>
    <row r="99" customFormat="false" ht="15" hidden="false" customHeight="false" outlineLevel="0" collapsed="false">
      <c r="A99" s="0" t="n">
        <v>95</v>
      </c>
      <c r="B99" s="15" t="n">
        <f aca="false">AC98</f>
        <v>0</v>
      </c>
      <c r="C99" s="15" t="n">
        <f aca="false">AD98</f>
        <v>0</v>
      </c>
      <c r="D99" s="15" t="n">
        <f aca="false">AE98</f>
        <v>0</v>
      </c>
      <c r="E99" s="15" t="n">
        <f aca="false">AF98</f>
        <v>0</v>
      </c>
      <c r="F99" s="15" t="n">
        <f aca="false">AG98</f>
        <v>0</v>
      </c>
      <c r="G99" s="15" t="n">
        <f aca="false">AH98</f>
        <v>0</v>
      </c>
      <c r="H99" s="15" t="n">
        <f aca="false">B99*N(Debts!C7)/12</f>
        <v>0</v>
      </c>
      <c r="I99" s="15" t="n">
        <f aca="false">C99*N(Debts!C8)/12</f>
        <v>0</v>
      </c>
      <c r="J99" s="15" t="n">
        <f aca="false">D99*N(Debts!C9)/12</f>
        <v>0</v>
      </c>
      <c r="K99" s="15" t="n">
        <f aca="false">E99*N(Debts!C10)/12</f>
        <v>0</v>
      </c>
      <c r="L99" s="15" t="n">
        <f aca="false">F99*N(Debts!C11)/12</f>
        <v>0</v>
      </c>
      <c r="M99" s="15" t="n">
        <f aca="false">G99*N(Debts!C12)/12</f>
        <v>0</v>
      </c>
      <c r="N99" s="15" t="n">
        <f aca="false">MIN(B99+H99,N(Debts!D7))</f>
        <v>0</v>
      </c>
      <c r="O99" s="15" t="n">
        <f aca="false">MIN(C99+I99,N(Debts!D8))</f>
        <v>0</v>
      </c>
      <c r="P99" s="15" t="n">
        <f aca="false">MIN(D99+J99,N(Debts!D9))</f>
        <v>0</v>
      </c>
      <c r="Q99" s="15" t="n">
        <f aca="false">MIN(E99+K99,N(Debts!D10))</f>
        <v>0</v>
      </c>
      <c r="R99" s="15" t="n">
        <f aca="false">MIN(F99+L99,N(Debts!D11))</f>
        <v>0</v>
      </c>
      <c r="S99" s="15" t="n">
        <f aca="false">MIN(G99+M99,N(Debts!D12))</f>
        <v>0</v>
      </c>
      <c r="T99" s="15" t="n">
        <f aca="false">Debts!$B$14</f>
        <v>286</v>
      </c>
      <c r="U99" s="15" t="n">
        <f aca="false">MAX(0,T99-SUM(N99:S99))</f>
        <v>286</v>
      </c>
      <c r="V99" s="16" t="n">
        <f aca="false">_xlfn.MINIFS($B$3:$G$3,B99:G99,"&gt;0.005")</f>
        <v>0</v>
      </c>
      <c r="W99" s="15" t="n">
        <f aca="false">IF(B99&lt;=0.005,0,MIN(B99+H99,N99+IF(B$3=$V99,$U99,0)))</f>
        <v>0</v>
      </c>
      <c r="X99" s="15" t="n">
        <f aca="false">IF(C99&lt;=0.005,0,MIN(C99+I99,O99+IF(C$3=$V99,$U99,0)))</f>
        <v>0</v>
      </c>
      <c r="Y99" s="15" t="n">
        <f aca="false">IF(D99&lt;=0.005,0,MIN(D99+J99,P99+IF(D$3=$V99,$U99,0)))</f>
        <v>0</v>
      </c>
      <c r="Z99" s="15" t="n">
        <f aca="false">IF(E99&lt;=0.005,0,MIN(E99+K99,Q99+IF(E$3=$V99,$U99,0)))</f>
        <v>0</v>
      </c>
      <c r="AA99" s="15" t="n">
        <f aca="false">IF(F99&lt;=0.005,0,MIN(F99+L99,R99+IF(F$3=$V99,$U99,0)))</f>
        <v>0</v>
      </c>
      <c r="AB99" s="15" t="n">
        <f aca="false">IF(G99&lt;=0.005,0,MIN(G99+M99,S99+IF(G$3=$V99,$U99,0)))</f>
        <v>0</v>
      </c>
      <c r="AC99" s="15" t="n">
        <f aca="false">MAX(0,B99+H99-W99)</f>
        <v>0</v>
      </c>
      <c r="AD99" s="15" t="n">
        <f aca="false">MAX(0,C99+I99-X99)</f>
        <v>0</v>
      </c>
      <c r="AE99" s="15" t="n">
        <f aca="false">MAX(0,D99+J99-Y99)</f>
        <v>0</v>
      </c>
      <c r="AF99" s="15" t="n">
        <f aca="false">MAX(0,E99+K99-Z99)</f>
        <v>0</v>
      </c>
      <c r="AG99" s="15" t="n">
        <f aca="false">MAX(0,F99+L99-AA99)</f>
        <v>0</v>
      </c>
      <c r="AH99" s="15" t="n">
        <f aca="false">MAX(0,G99+M99-AB99)</f>
        <v>0</v>
      </c>
      <c r="AI99" s="15" t="n">
        <f aca="false">SUM(H99:M99)</f>
        <v>0</v>
      </c>
      <c r="AJ99" s="15" t="n">
        <f aca="false">SUM(AC99:AH99)</f>
        <v>0</v>
      </c>
    </row>
    <row r="100" customFormat="false" ht="15" hidden="false" customHeight="false" outlineLevel="0" collapsed="false">
      <c r="A100" s="0" t="n">
        <v>96</v>
      </c>
      <c r="B100" s="15" t="n">
        <f aca="false">AC99</f>
        <v>0</v>
      </c>
      <c r="C100" s="15" t="n">
        <f aca="false">AD99</f>
        <v>0</v>
      </c>
      <c r="D100" s="15" t="n">
        <f aca="false">AE99</f>
        <v>0</v>
      </c>
      <c r="E100" s="15" t="n">
        <f aca="false">AF99</f>
        <v>0</v>
      </c>
      <c r="F100" s="15" t="n">
        <f aca="false">AG99</f>
        <v>0</v>
      </c>
      <c r="G100" s="15" t="n">
        <f aca="false">AH99</f>
        <v>0</v>
      </c>
      <c r="H100" s="15" t="n">
        <f aca="false">B100*N(Debts!C7)/12</f>
        <v>0</v>
      </c>
      <c r="I100" s="15" t="n">
        <f aca="false">C100*N(Debts!C8)/12</f>
        <v>0</v>
      </c>
      <c r="J100" s="15" t="n">
        <f aca="false">D100*N(Debts!C9)/12</f>
        <v>0</v>
      </c>
      <c r="K100" s="15" t="n">
        <f aca="false">E100*N(Debts!C10)/12</f>
        <v>0</v>
      </c>
      <c r="L100" s="15" t="n">
        <f aca="false">F100*N(Debts!C11)/12</f>
        <v>0</v>
      </c>
      <c r="M100" s="15" t="n">
        <f aca="false">G100*N(Debts!C12)/12</f>
        <v>0</v>
      </c>
      <c r="N100" s="15" t="n">
        <f aca="false">MIN(B100+H100,N(Debts!D7))</f>
        <v>0</v>
      </c>
      <c r="O100" s="15" t="n">
        <f aca="false">MIN(C100+I100,N(Debts!D8))</f>
        <v>0</v>
      </c>
      <c r="P100" s="15" t="n">
        <f aca="false">MIN(D100+J100,N(Debts!D9))</f>
        <v>0</v>
      </c>
      <c r="Q100" s="15" t="n">
        <f aca="false">MIN(E100+K100,N(Debts!D10))</f>
        <v>0</v>
      </c>
      <c r="R100" s="15" t="n">
        <f aca="false">MIN(F100+L100,N(Debts!D11))</f>
        <v>0</v>
      </c>
      <c r="S100" s="15" t="n">
        <f aca="false">MIN(G100+M100,N(Debts!D12))</f>
        <v>0</v>
      </c>
      <c r="T100" s="15" t="n">
        <f aca="false">Debts!$B$14</f>
        <v>286</v>
      </c>
      <c r="U100" s="15" t="n">
        <f aca="false">MAX(0,T100-SUM(N100:S100))</f>
        <v>286</v>
      </c>
      <c r="V100" s="16" t="n">
        <f aca="false">_xlfn.MINIFS($B$3:$G$3,B100:G100,"&gt;0.005")</f>
        <v>0</v>
      </c>
      <c r="W100" s="15" t="n">
        <f aca="false">IF(B100&lt;=0.005,0,MIN(B100+H100,N100+IF(B$3=$V100,$U100,0)))</f>
        <v>0</v>
      </c>
      <c r="X100" s="15" t="n">
        <f aca="false">IF(C100&lt;=0.005,0,MIN(C100+I100,O100+IF(C$3=$V100,$U100,0)))</f>
        <v>0</v>
      </c>
      <c r="Y100" s="15" t="n">
        <f aca="false">IF(D100&lt;=0.005,0,MIN(D100+J100,P100+IF(D$3=$V100,$U100,0)))</f>
        <v>0</v>
      </c>
      <c r="Z100" s="15" t="n">
        <f aca="false">IF(E100&lt;=0.005,0,MIN(E100+K100,Q100+IF(E$3=$V100,$U100,0)))</f>
        <v>0</v>
      </c>
      <c r="AA100" s="15" t="n">
        <f aca="false">IF(F100&lt;=0.005,0,MIN(F100+L100,R100+IF(F$3=$V100,$U100,0)))</f>
        <v>0</v>
      </c>
      <c r="AB100" s="15" t="n">
        <f aca="false">IF(G100&lt;=0.005,0,MIN(G100+M100,S100+IF(G$3=$V100,$U100,0)))</f>
        <v>0</v>
      </c>
      <c r="AC100" s="15" t="n">
        <f aca="false">MAX(0,B100+H100-W100)</f>
        <v>0</v>
      </c>
      <c r="AD100" s="15" t="n">
        <f aca="false">MAX(0,C100+I100-X100)</f>
        <v>0</v>
      </c>
      <c r="AE100" s="15" t="n">
        <f aca="false">MAX(0,D100+J100-Y100)</f>
        <v>0</v>
      </c>
      <c r="AF100" s="15" t="n">
        <f aca="false">MAX(0,E100+K100-Z100)</f>
        <v>0</v>
      </c>
      <c r="AG100" s="15" t="n">
        <f aca="false">MAX(0,F100+L100-AA100)</f>
        <v>0</v>
      </c>
      <c r="AH100" s="15" t="n">
        <f aca="false">MAX(0,G100+M100-AB100)</f>
        <v>0</v>
      </c>
      <c r="AI100" s="15" t="n">
        <f aca="false">SUM(H100:M100)</f>
        <v>0</v>
      </c>
      <c r="AJ100" s="15" t="n">
        <f aca="false">SUM(AC100:AH100)</f>
        <v>0</v>
      </c>
    </row>
    <row r="101" customFormat="false" ht="15" hidden="false" customHeight="false" outlineLevel="0" collapsed="false">
      <c r="A101" s="0" t="n">
        <v>97</v>
      </c>
      <c r="B101" s="15" t="n">
        <f aca="false">AC100</f>
        <v>0</v>
      </c>
      <c r="C101" s="15" t="n">
        <f aca="false">AD100</f>
        <v>0</v>
      </c>
      <c r="D101" s="15" t="n">
        <f aca="false">AE100</f>
        <v>0</v>
      </c>
      <c r="E101" s="15" t="n">
        <f aca="false">AF100</f>
        <v>0</v>
      </c>
      <c r="F101" s="15" t="n">
        <f aca="false">AG100</f>
        <v>0</v>
      </c>
      <c r="G101" s="15" t="n">
        <f aca="false">AH100</f>
        <v>0</v>
      </c>
      <c r="H101" s="15" t="n">
        <f aca="false">B101*N(Debts!C7)/12</f>
        <v>0</v>
      </c>
      <c r="I101" s="15" t="n">
        <f aca="false">C101*N(Debts!C8)/12</f>
        <v>0</v>
      </c>
      <c r="J101" s="15" t="n">
        <f aca="false">D101*N(Debts!C9)/12</f>
        <v>0</v>
      </c>
      <c r="K101" s="15" t="n">
        <f aca="false">E101*N(Debts!C10)/12</f>
        <v>0</v>
      </c>
      <c r="L101" s="15" t="n">
        <f aca="false">F101*N(Debts!C11)/12</f>
        <v>0</v>
      </c>
      <c r="M101" s="15" t="n">
        <f aca="false">G101*N(Debts!C12)/12</f>
        <v>0</v>
      </c>
      <c r="N101" s="15" t="n">
        <f aca="false">MIN(B101+H101,N(Debts!D7))</f>
        <v>0</v>
      </c>
      <c r="O101" s="15" t="n">
        <f aca="false">MIN(C101+I101,N(Debts!D8))</f>
        <v>0</v>
      </c>
      <c r="P101" s="15" t="n">
        <f aca="false">MIN(D101+J101,N(Debts!D9))</f>
        <v>0</v>
      </c>
      <c r="Q101" s="15" t="n">
        <f aca="false">MIN(E101+K101,N(Debts!D10))</f>
        <v>0</v>
      </c>
      <c r="R101" s="15" t="n">
        <f aca="false">MIN(F101+L101,N(Debts!D11))</f>
        <v>0</v>
      </c>
      <c r="S101" s="15" t="n">
        <f aca="false">MIN(G101+M101,N(Debts!D12))</f>
        <v>0</v>
      </c>
      <c r="T101" s="15" t="n">
        <f aca="false">Debts!$B$14</f>
        <v>286</v>
      </c>
      <c r="U101" s="15" t="n">
        <f aca="false">MAX(0,T101-SUM(N101:S101))</f>
        <v>286</v>
      </c>
      <c r="V101" s="16" t="n">
        <f aca="false">_xlfn.MINIFS($B$3:$G$3,B101:G101,"&gt;0.005")</f>
        <v>0</v>
      </c>
      <c r="W101" s="15" t="n">
        <f aca="false">IF(B101&lt;=0.005,0,MIN(B101+H101,N101+IF(B$3=$V101,$U101,0)))</f>
        <v>0</v>
      </c>
      <c r="X101" s="15" t="n">
        <f aca="false">IF(C101&lt;=0.005,0,MIN(C101+I101,O101+IF(C$3=$V101,$U101,0)))</f>
        <v>0</v>
      </c>
      <c r="Y101" s="15" t="n">
        <f aca="false">IF(D101&lt;=0.005,0,MIN(D101+J101,P101+IF(D$3=$V101,$U101,0)))</f>
        <v>0</v>
      </c>
      <c r="Z101" s="15" t="n">
        <f aca="false">IF(E101&lt;=0.005,0,MIN(E101+K101,Q101+IF(E$3=$V101,$U101,0)))</f>
        <v>0</v>
      </c>
      <c r="AA101" s="15" t="n">
        <f aca="false">IF(F101&lt;=0.005,0,MIN(F101+L101,R101+IF(F$3=$V101,$U101,0)))</f>
        <v>0</v>
      </c>
      <c r="AB101" s="15" t="n">
        <f aca="false">IF(G101&lt;=0.005,0,MIN(G101+M101,S101+IF(G$3=$V101,$U101,0)))</f>
        <v>0</v>
      </c>
      <c r="AC101" s="15" t="n">
        <f aca="false">MAX(0,B101+H101-W101)</f>
        <v>0</v>
      </c>
      <c r="AD101" s="15" t="n">
        <f aca="false">MAX(0,C101+I101-X101)</f>
        <v>0</v>
      </c>
      <c r="AE101" s="15" t="n">
        <f aca="false">MAX(0,D101+J101-Y101)</f>
        <v>0</v>
      </c>
      <c r="AF101" s="15" t="n">
        <f aca="false">MAX(0,E101+K101-Z101)</f>
        <v>0</v>
      </c>
      <c r="AG101" s="15" t="n">
        <f aca="false">MAX(0,F101+L101-AA101)</f>
        <v>0</v>
      </c>
      <c r="AH101" s="15" t="n">
        <f aca="false">MAX(0,G101+M101-AB101)</f>
        <v>0</v>
      </c>
      <c r="AI101" s="15" t="n">
        <f aca="false">SUM(H101:M101)</f>
        <v>0</v>
      </c>
      <c r="AJ101" s="15" t="n">
        <f aca="false">SUM(AC101:AH101)</f>
        <v>0</v>
      </c>
    </row>
    <row r="102" customFormat="false" ht="15" hidden="false" customHeight="false" outlineLevel="0" collapsed="false">
      <c r="A102" s="0" t="n">
        <v>98</v>
      </c>
      <c r="B102" s="15" t="n">
        <f aca="false">AC101</f>
        <v>0</v>
      </c>
      <c r="C102" s="15" t="n">
        <f aca="false">AD101</f>
        <v>0</v>
      </c>
      <c r="D102" s="15" t="n">
        <f aca="false">AE101</f>
        <v>0</v>
      </c>
      <c r="E102" s="15" t="n">
        <f aca="false">AF101</f>
        <v>0</v>
      </c>
      <c r="F102" s="15" t="n">
        <f aca="false">AG101</f>
        <v>0</v>
      </c>
      <c r="G102" s="15" t="n">
        <f aca="false">AH101</f>
        <v>0</v>
      </c>
      <c r="H102" s="15" t="n">
        <f aca="false">B102*N(Debts!C7)/12</f>
        <v>0</v>
      </c>
      <c r="I102" s="15" t="n">
        <f aca="false">C102*N(Debts!C8)/12</f>
        <v>0</v>
      </c>
      <c r="J102" s="15" t="n">
        <f aca="false">D102*N(Debts!C9)/12</f>
        <v>0</v>
      </c>
      <c r="K102" s="15" t="n">
        <f aca="false">E102*N(Debts!C10)/12</f>
        <v>0</v>
      </c>
      <c r="L102" s="15" t="n">
        <f aca="false">F102*N(Debts!C11)/12</f>
        <v>0</v>
      </c>
      <c r="M102" s="15" t="n">
        <f aca="false">G102*N(Debts!C12)/12</f>
        <v>0</v>
      </c>
      <c r="N102" s="15" t="n">
        <f aca="false">MIN(B102+H102,N(Debts!D7))</f>
        <v>0</v>
      </c>
      <c r="O102" s="15" t="n">
        <f aca="false">MIN(C102+I102,N(Debts!D8))</f>
        <v>0</v>
      </c>
      <c r="P102" s="15" t="n">
        <f aca="false">MIN(D102+J102,N(Debts!D9))</f>
        <v>0</v>
      </c>
      <c r="Q102" s="15" t="n">
        <f aca="false">MIN(E102+K102,N(Debts!D10))</f>
        <v>0</v>
      </c>
      <c r="R102" s="15" t="n">
        <f aca="false">MIN(F102+L102,N(Debts!D11))</f>
        <v>0</v>
      </c>
      <c r="S102" s="15" t="n">
        <f aca="false">MIN(G102+M102,N(Debts!D12))</f>
        <v>0</v>
      </c>
      <c r="T102" s="15" t="n">
        <f aca="false">Debts!$B$14</f>
        <v>286</v>
      </c>
      <c r="U102" s="15" t="n">
        <f aca="false">MAX(0,T102-SUM(N102:S102))</f>
        <v>286</v>
      </c>
      <c r="V102" s="16" t="n">
        <f aca="false">_xlfn.MINIFS($B$3:$G$3,B102:G102,"&gt;0.005")</f>
        <v>0</v>
      </c>
      <c r="W102" s="15" t="n">
        <f aca="false">IF(B102&lt;=0.005,0,MIN(B102+H102,N102+IF(B$3=$V102,$U102,0)))</f>
        <v>0</v>
      </c>
      <c r="X102" s="15" t="n">
        <f aca="false">IF(C102&lt;=0.005,0,MIN(C102+I102,O102+IF(C$3=$V102,$U102,0)))</f>
        <v>0</v>
      </c>
      <c r="Y102" s="15" t="n">
        <f aca="false">IF(D102&lt;=0.005,0,MIN(D102+J102,P102+IF(D$3=$V102,$U102,0)))</f>
        <v>0</v>
      </c>
      <c r="Z102" s="15" t="n">
        <f aca="false">IF(E102&lt;=0.005,0,MIN(E102+K102,Q102+IF(E$3=$V102,$U102,0)))</f>
        <v>0</v>
      </c>
      <c r="AA102" s="15" t="n">
        <f aca="false">IF(F102&lt;=0.005,0,MIN(F102+L102,R102+IF(F$3=$V102,$U102,0)))</f>
        <v>0</v>
      </c>
      <c r="AB102" s="15" t="n">
        <f aca="false">IF(G102&lt;=0.005,0,MIN(G102+M102,S102+IF(G$3=$V102,$U102,0)))</f>
        <v>0</v>
      </c>
      <c r="AC102" s="15" t="n">
        <f aca="false">MAX(0,B102+H102-W102)</f>
        <v>0</v>
      </c>
      <c r="AD102" s="15" t="n">
        <f aca="false">MAX(0,C102+I102-X102)</f>
        <v>0</v>
      </c>
      <c r="AE102" s="15" t="n">
        <f aca="false">MAX(0,D102+J102-Y102)</f>
        <v>0</v>
      </c>
      <c r="AF102" s="15" t="n">
        <f aca="false">MAX(0,E102+K102-Z102)</f>
        <v>0</v>
      </c>
      <c r="AG102" s="15" t="n">
        <f aca="false">MAX(0,F102+L102-AA102)</f>
        <v>0</v>
      </c>
      <c r="AH102" s="15" t="n">
        <f aca="false">MAX(0,G102+M102-AB102)</f>
        <v>0</v>
      </c>
      <c r="AI102" s="15" t="n">
        <f aca="false">SUM(H102:M102)</f>
        <v>0</v>
      </c>
      <c r="AJ102" s="15" t="n">
        <f aca="false">SUM(AC102:AH102)</f>
        <v>0</v>
      </c>
    </row>
    <row r="103" customFormat="false" ht="15" hidden="false" customHeight="false" outlineLevel="0" collapsed="false">
      <c r="A103" s="0" t="n">
        <v>99</v>
      </c>
      <c r="B103" s="15" t="n">
        <f aca="false">AC102</f>
        <v>0</v>
      </c>
      <c r="C103" s="15" t="n">
        <f aca="false">AD102</f>
        <v>0</v>
      </c>
      <c r="D103" s="15" t="n">
        <f aca="false">AE102</f>
        <v>0</v>
      </c>
      <c r="E103" s="15" t="n">
        <f aca="false">AF102</f>
        <v>0</v>
      </c>
      <c r="F103" s="15" t="n">
        <f aca="false">AG102</f>
        <v>0</v>
      </c>
      <c r="G103" s="15" t="n">
        <f aca="false">AH102</f>
        <v>0</v>
      </c>
      <c r="H103" s="15" t="n">
        <f aca="false">B103*N(Debts!C7)/12</f>
        <v>0</v>
      </c>
      <c r="I103" s="15" t="n">
        <f aca="false">C103*N(Debts!C8)/12</f>
        <v>0</v>
      </c>
      <c r="J103" s="15" t="n">
        <f aca="false">D103*N(Debts!C9)/12</f>
        <v>0</v>
      </c>
      <c r="K103" s="15" t="n">
        <f aca="false">E103*N(Debts!C10)/12</f>
        <v>0</v>
      </c>
      <c r="L103" s="15" t="n">
        <f aca="false">F103*N(Debts!C11)/12</f>
        <v>0</v>
      </c>
      <c r="M103" s="15" t="n">
        <f aca="false">G103*N(Debts!C12)/12</f>
        <v>0</v>
      </c>
      <c r="N103" s="15" t="n">
        <f aca="false">MIN(B103+H103,N(Debts!D7))</f>
        <v>0</v>
      </c>
      <c r="O103" s="15" t="n">
        <f aca="false">MIN(C103+I103,N(Debts!D8))</f>
        <v>0</v>
      </c>
      <c r="P103" s="15" t="n">
        <f aca="false">MIN(D103+J103,N(Debts!D9))</f>
        <v>0</v>
      </c>
      <c r="Q103" s="15" t="n">
        <f aca="false">MIN(E103+K103,N(Debts!D10))</f>
        <v>0</v>
      </c>
      <c r="R103" s="15" t="n">
        <f aca="false">MIN(F103+L103,N(Debts!D11))</f>
        <v>0</v>
      </c>
      <c r="S103" s="15" t="n">
        <f aca="false">MIN(G103+M103,N(Debts!D12))</f>
        <v>0</v>
      </c>
      <c r="T103" s="15" t="n">
        <f aca="false">Debts!$B$14</f>
        <v>286</v>
      </c>
      <c r="U103" s="15" t="n">
        <f aca="false">MAX(0,T103-SUM(N103:S103))</f>
        <v>286</v>
      </c>
      <c r="V103" s="16" t="n">
        <f aca="false">_xlfn.MINIFS($B$3:$G$3,B103:G103,"&gt;0.005")</f>
        <v>0</v>
      </c>
      <c r="W103" s="15" t="n">
        <f aca="false">IF(B103&lt;=0.005,0,MIN(B103+H103,N103+IF(B$3=$V103,$U103,0)))</f>
        <v>0</v>
      </c>
      <c r="X103" s="15" t="n">
        <f aca="false">IF(C103&lt;=0.005,0,MIN(C103+I103,O103+IF(C$3=$V103,$U103,0)))</f>
        <v>0</v>
      </c>
      <c r="Y103" s="15" t="n">
        <f aca="false">IF(D103&lt;=0.005,0,MIN(D103+J103,P103+IF(D$3=$V103,$U103,0)))</f>
        <v>0</v>
      </c>
      <c r="Z103" s="15" t="n">
        <f aca="false">IF(E103&lt;=0.005,0,MIN(E103+K103,Q103+IF(E$3=$V103,$U103,0)))</f>
        <v>0</v>
      </c>
      <c r="AA103" s="15" t="n">
        <f aca="false">IF(F103&lt;=0.005,0,MIN(F103+L103,R103+IF(F$3=$V103,$U103,0)))</f>
        <v>0</v>
      </c>
      <c r="AB103" s="15" t="n">
        <f aca="false">IF(G103&lt;=0.005,0,MIN(G103+M103,S103+IF(G$3=$V103,$U103,0)))</f>
        <v>0</v>
      </c>
      <c r="AC103" s="15" t="n">
        <f aca="false">MAX(0,B103+H103-W103)</f>
        <v>0</v>
      </c>
      <c r="AD103" s="15" t="n">
        <f aca="false">MAX(0,C103+I103-X103)</f>
        <v>0</v>
      </c>
      <c r="AE103" s="15" t="n">
        <f aca="false">MAX(0,D103+J103-Y103)</f>
        <v>0</v>
      </c>
      <c r="AF103" s="15" t="n">
        <f aca="false">MAX(0,E103+K103-Z103)</f>
        <v>0</v>
      </c>
      <c r="AG103" s="15" t="n">
        <f aca="false">MAX(0,F103+L103-AA103)</f>
        <v>0</v>
      </c>
      <c r="AH103" s="15" t="n">
        <f aca="false">MAX(0,G103+M103-AB103)</f>
        <v>0</v>
      </c>
      <c r="AI103" s="15" t="n">
        <f aca="false">SUM(H103:M103)</f>
        <v>0</v>
      </c>
      <c r="AJ103" s="15" t="n">
        <f aca="false">SUM(AC103:AH103)</f>
        <v>0</v>
      </c>
    </row>
    <row r="104" customFormat="false" ht="15" hidden="false" customHeight="false" outlineLevel="0" collapsed="false">
      <c r="A104" s="0" t="n">
        <v>100</v>
      </c>
      <c r="B104" s="15" t="n">
        <f aca="false">AC103</f>
        <v>0</v>
      </c>
      <c r="C104" s="15" t="n">
        <f aca="false">AD103</f>
        <v>0</v>
      </c>
      <c r="D104" s="15" t="n">
        <f aca="false">AE103</f>
        <v>0</v>
      </c>
      <c r="E104" s="15" t="n">
        <f aca="false">AF103</f>
        <v>0</v>
      </c>
      <c r="F104" s="15" t="n">
        <f aca="false">AG103</f>
        <v>0</v>
      </c>
      <c r="G104" s="15" t="n">
        <f aca="false">AH103</f>
        <v>0</v>
      </c>
      <c r="H104" s="15" t="n">
        <f aca="false">B104*N(Debts!C7)/12</f>
        <v>0</v>
      </c>
      <c r="I104" s="15" t="n">
        <f aca="false">C104*N(Debts!C8)/12</f>
        <v>0</v>
      </c>
      <c r="J104" s="15" t="n">
        <f aca="false">D104*N(Debts!C9)/12</f>
        <v>0</v>
      </c>
      <c r="K104" s="15" t="n">
        <f aca="false">E104*N(Debts!C10)/12</f>
        <v>0</v>
      </c>
      <c r="L104" s="15" t="n">
        <f aca="false">F104*N(Debts!C11)/12</f>
        <v>0</v>
      </c>
      <c r="M104" s="15" t="n">
        <f aca="false">G104*N(Debts!C12)/12</f>
        <v>0</v>
      </c>
      <c r="N104" s="15" t="n">
        <f aca="false">MIN(B104+H104,N(Debts!D7))</f>
        <v>0</v>
      </c>
      <c r="O104" s="15" t="n">
        <f aca="false">MIN(C104+I104,N(Debts!D8))</f>
        <v>0</v>
      </c>
      <c r="P104" s="15" t="n">
        <f aca="false">MIN(D104+J104,N(Debts!D9))</f>
        <v>0</v>
      </c>
      <c r="Q104" s="15" t="n">
        <f aca="false">MIN(E104+K104,N(Debts!D10))</f>
        <v>0</v>
      </c>
      <c r="R104" s="15" t="n">
        <f aca="false">MIN(F104+L104,N(Debts!D11))</f>
        <v>0</v>
      </c>
      <c r="S104" s="15" t="n">
        <f aca="false">MIN(G104+M104,N(Debts!D12))</f>
        <v>0</v>
      </c>
      <c r="T104" s="15" t="n">
        <f aca="false">Debts!$B$14</f>
        <v>286</v>
      </c>
      <c r="U104" s="15" t="n">
        <f aca="false">MAX(0,T104-SUM(N104:S104))</f>
        <v>286</v>
      </c>
      <c r="V104" s="16" t="n">
        <f aca="false">_xlfn.MINIFS($B$3:$G$3,B104:G104,"&gt;0.005")</f>
        <v>0</v>
      </c>
      <c r="W104" s="15" t="n">
        <f aca="false">IF(B104&lt;=0.005,0,MIN(B104+H104,N104+IF(B$3=$V104,$U104,0)))</f>
        <v>0</v>
      </c>
      <c r="X104" s="15" t="n">
        <f aca="false">IF(C104&lt;=0.005,0,MIN(C104+I104,O104+IF(C$3=$V104,$U104,0)))</f>
        <v>0</v>
      </c>
      <c r="Y104" s="15" t="n">
        <f aca="false">IF(D104&lt;=0.005,0,MIN(D104+J104,P104+IF(D$3=$V104,$U104,0)))</f>
        <v>0</v>
      </c>
      <c r="Z104" s="15" t="n">
        <f aca="false">IF(E104&lt;=0.005,0,MIN(E104+K104,Q104+IF(E$3=$V104,$U104,0)))</f>
        <v>0</v>
      </c>
      <c r="AA104" s="15" t="n">
        <f aca="false">IF(F104&lt;=0.005,0,MIN(F104+L104,R104+IF(F$3=$V104,$U104,0)))</f>
        <v>0</v>
      </c>
      <c r="AB104" s="15" t="n">
        <f aca="false">IF(G104&lt;=0.005,0,MIN(G104+M104,S104+IF(G$3=$V104,$U104,0)))</f>
        <v>0</v>
      </c>
      <c r="AC104" s="15" t="n">
        <f aca="false">MAX(0,B104+H104-W104)</f>
        <v>0</v>
      </c>
      <c r="AD104" s="15" t="n">
        <f aca="false">MAX(0,C104+I104-X104)</f>
        <v>0</v>
      </c>
      <c r="AE104" s="15" t="n">
        <f aca="false">MAX(0,D104+J104-Y104)</f>
        <v>0</v>
      </c>
      <c r="AF104" s="15" t="n">
        <f aca="false">MAX(0,E104+K104-Z104)</f>
        <v>0</v>
      </c>
      <c r="AG104" s="15" t="n">
        <f aca="false">MAX(0,F104+L104-AA104)</f>
        <v>0</v>
      </c>
      <c r="AH104" s="15" t="n">
        <f aca="false">MAX(0,G104+M104-AB104)</f>
        <v>0</v>
      </c>
      <c r="AI104" s="15" t="n">
        <f aca="false">SUM(H104:M104)</f>
        <v>0</v>
      </c>
      <c r="AJ104" s="15" t="n">
        <f aca="false">SUM(AC104:AH104)</f>
        <v>0</v>
      </c>
    </row>
    <row r="105" customFormat="false" ht="15" hidden="false" customHeight="false" outlineLevel="0" collapsed="false">
      <c r="A105" s="0" t="n">
        <v>101</v>
      </c>
      <c r="B105" s="15" t="n">
        <f aca="false">AC104</f>
        <v>0</v>
      </c>
      <c r="C105" s="15" t="n">
        <f aca="false">AD104</f>
        <v>0</v>
      </c>
      <c r="D105" s="15" t="n">
        <f aca="false">AE104</f>
        <v>0</v>
      </c>
      <c r="E105" s="15" t="n">
        <f aca="false">AF104</f>
        <v>0</v>
      </c>
      <c r="F105" s="15" t="n">
        <f aca="false">AG104</f>
        <v>0</v>
      </c>
      <c r="G105" s="15" t="n">
        <f aca="false">AH104</f>
        <v>0</v>
      </c>
      <c r="H105" s="15" t="n">
        <f aca="false">B105*N(Debts!C7)/12</f>
        <v>0</v>
      </c>
      <c r="I105" s="15" t="n">
        <f aca="false">C105*N(Debts!C8)/12</f>
        <v>0</v>
      </c>
      <c r="J105" s="15" t="n">
        <f aca="false">D105*N(Debts!C9)/12</f>
        <v>0</v>
      </c>
      <c r="K105" s="15" t="n">
        <f aca="false">E105*N(Debts!C10)/12</f>
        <v>0</v>
      </c>
      <c r="L105" s="15" t="n">
        <f aca="false">F105*N(Debts!C11)/12</f>
        <v>0</v>
      </c>
      <c r="M105" s="15" t="n">
        <f aca="false">G105*N(Debts!C12)/12</f>
        <v>0</v>
      </c>
      <c r="N105" s="15" t="n">
        <f aca="false">MIN(B105+H105,N(Debts!D7))</f>
        <v>0</v>
      </c>
      <c r="O105" s="15" t="n">
        <f aca="false">MIN(C105+I105,N(Debts!D8))</f>
        <v>0</v>
      </c>
      <c r="P105" s="15" t="n">
        <f aca="false">MIN(D105+J105,N(Debts!D9))</f>
        <v>0</v>
      </c>
      <c r="Q105" s="15" t="n">
        <f aca="false">MIN(E105+K105,N(Debts!D10))</f>
        <v>0</v>
      </c>
      <c r="R105" s="15" t="n">
        <f aca="false">MIN(F105+L105,N(Debts!D11))</f>
        <v>0</v>
      </c>
      <c r="S105" s="15" t="n">
        <f aca="false">MIN(G105+M105,N(Debts!D12))</f>
        <v>0</v>
      </c>
      <c r="T105" s="15" t="n">
        <f aca="false">Debts!$B$14</f>
        <v>286</v>
      </c>
      <c r="U105" s="15" t="n">
        <f aca="false">MAX(0,T105-SUM(N105:S105))</f>
        <v>286</v>
      </c>
      <c r="V105" s="16" t="n">
        <f aca="false">_xlfn.MINIFS($B$3:$G$3,B105:G105,"&gt;0.005")</f>
        <v>0</v>
      </c>
      <c r="W105" s="15" t="n">
        <f aca="false">IF(B105&lt;=0.005,0,MIN(B105+H105,N105+IF(B$3=$V105,$U105,0)))</f>
        <v>0</v>
      </c>
      <c r="X105" s="15" t="n">
        <f aca="false">IF(C105&lt;=0.005,0,MIN(C105+I105,O105+IF(C$3=$V105,$U105,0)))</f>
        <v>0</v>
      </c>
      <c r="Y105" s="15" t="n">
        <f aca="false">IF(D105&lt;=0.005,0,MIN(D105+J105,P105+IF(D$3=$V105,$U105,0)))</f>
        <v>0</v>
      </c>
      <c r="Z105" s="15" t="n">
        <f aca="false">IF(E105&lt;=0.005,0,MIN(E105+K105,Q105+IF(E$3=$V105,$U105,0)))</f>
        <v>0</v>
      </c>
      <c r="AA105" s="15" t="n">
        <f aca="false">IF(F105&lt;=0.005,0,MIN(F105+L105,R105+IF(F$3=$V105,$U105,0)))</f>
        <v>0</v>
      </c>
      <c r="AB105" s="15" t="n">
        <f aca="false">IF(G105&lt;=0.005,0,MIN(G105+M105,S105+IF(G$3=$V105,$U105,0)))</f>
        <v>0</v>
      </c>
      <c r="AC105" s="15" t="n">
        <f aca="false">MAX(0,B105+H105-W105)</f>
        <v>0</v>
      </c>
      <c r="AD105" s="15" t="n">
        <f aca="false">MAX(0,C105+I105-X105)</f>
        <v>0</v>
      </c>
      <c r="AE105" s="15" t="n">
        <f aca="false">MAX(0,D105+J105-Y105)</f>
        <v>0</v>
      </c>
      <c r="AF105" s="15" t="n">
        <f aca="false">MAX(0,E105+K105-Z105)</f>
        <v>0</v>
      </c>
      <c r="AG105" s="15" t="n">
        <f aca="false">MAX(0,F105+L105-AA105)</f>
        <v>0</v>
      </c>
      <c r="AH105" s="15" t="n">
        <f aca="false">MAX(0,G105+M105-AB105)</f>
        <v>0</v>
      </c>
      <c r="AI105" s="15" t="n">
        <f aca="false">SUM(H105:M105)</f>
        <v>0</v>
      </c>
      <c r="AJ105" s="15" t="n">
        <f aca="false">SUM(AC105:AH105)</f>
        <v>0</v>
      </c>
    </row>
    <row r="106" customFormat="false" ht="15" hidden="false" customHeight="false" outlineLevel="0" collapsed="false">
      <c r="A106" s="0" t="n">
        <v>102</v>
      </c>
      <c r="B106" s="15" t="n">
        <f aca="false">AC105</f>
        <v>0</v>
      </c>
      <c r="C106" s="15" t="n">
        <f aca="false">AD105</f>
        <v>0</v>
      </c>
      <c r="D106" s="15" t="n">
        <f aca="false">AE105</f>
        <v>0</v>
      </c>
      <c r="E106" s="15" t="n">
        <f aca="false">AF105</f>
        <v>0</v>
      </c>
      <c r="F106" s="15" t="n">
        <f aca="false">AG105</f>
        <v>0</v>
      </c>
      <c r="G106" s="15" t="n">
        <f aca="false">AH105</f>
        <v>0</v>
      </c>
      <c r="H106" s="15" t="n">
        <f aca="false">B106*N(Debts!C7)/12</f>
        <v>0</v>
      </c>
      <c r="I106" s="15" t="n">
        <f aca="false">C106*N(Debts!C8)/12</f>
        <v>0</v>
      </c>
      <c r="J106" s="15" t="n">
        <f aca="false">D106*N(Debts!C9)/12</f>
        <v>0</v>
      </c>
      <c r="K106" s="15" t="n">
        <f aca="false">E106*N(Debts!C10)/12</f>
        <v>0</v>
      </c>
      <c r="L106" s="15" t="n">
        <f aca="false">F106*N(Debts!C11)/12</f>
        <v>0</v>
      </c>
      <c r="M106" s="15" t="n">
        <f aca="false">G106*N(Debts!C12)/12</f>
        <v>0</v>
      </c>
      <c r="N106" s="15" t="n">
        <f aca="false">MIN(B106+H106,N(Debts!D7))</f>
        <v>0</v>
      </c>
      <c r="O106" s="15" t="n">
        <f aca="false">MIN(C106+I106,N(Debts!D8))</f>
        <v>0</v>
      </c>
      <c r="P106" s="15" t="n">
        <f aca="false">MIN(D106+J106,N(Debts!D9))</f>
        <v>0</v>
      </c>
      <c r="Q106" s="15" t="n">
        <f aca="false">MIN(E106+K106,N(Debts!D10))</f>
        <v>0</v>
      </c>
      <c r="R106" s="15" t="n">
        <f aca="false">MIN(F106+L106,N(Debts!D11))</f>
        <v>0</v>
      </c>
      <c r="S106" s="15" t="n">
        <f aca="false">MIN(G106+M106,N(Debts!D12))</f>
        <v>0</v>
      </c>
      <c r="T106" s="15" t="n">
        <f aca="false">Debts!$B$14</f>
        <v>286</v>
      </c>
      <c r="U106" s="15" t="n">
        <f aca="false">MAX(0,T106-SUM(N106:S106))</f>
        <v>286</v>
      </c>
      <c r="V106" s="16" t="n">
        <f aca="false">_xlfn.MINIFS($B$3:$G$3,B106:G106,"&gt;0.005")</f>
        <v>0</v>
      </c>
      <c r="W106" s="15" t="n">
        <f aca="false">IF(B106&lt;=0.005,0,MIN(B106+H106,N106+IF(B$3=$V106,$U106,0)))</f>
        <v>0</v>
      </c>
      <c r="X106" s="15" t="n">
        <f aca="false">IF(C106&lt;=0.005,0,MIN(C106+I106,O106+IF(C$3=$V106,$U106,0)))</f>
        <v>0</v>
      </c>
      <c r="Y106" s="15" t="n">
        <f aca="false">IF(D106&lt;=0.005,0,MIN(D106+J106,P106+IF(D$3=$V106,$U106,0)))</f>
        <v>0</v>
      </c>
      <c r="Z106" s="15" t="n">
        <f aca="false">IF(E106&lt;=0.005,0,MIN(E106+K106,Q106+IF(E$3=$V106,$U106,0)))</f>
        <v>0</v>
      </c>
      <c r="AA106" s="15" t="n">
        <f aca="false">IF(F106&lt;=0.005,0,MIN(F106+L106,R106+IF(F$3=$V106,$U106,0)))</f>
        <v>0</v>
      </c>
      <c r="AB106" s="15" t="n">
        <f aca="false">IF(G106&lt;=0.005,0,MIN(G106+M106,S106+IF(G$3=$V106,$U106,0)))</f>
        <v>0</v>
      </c>
      <c r="AC106" s="15" t="n">
        <f aca="false">MAX(0,B106+H106-W106)</f>
        <v>0</v>
      </c>
      <c r="AD106" s="15" t="n">
        <f aca="false">MAX(0,C106+I106-X106)</f>
        <v>0</v>
      </c>
      <c r="AE106" s="15" t="n">
        <f aca="false">MAX(0,D106+J106-Y106)</f>
        <v>0</v>
      </c>
      <c r="AF106" s="15" t="n">
        <f aca="false">MAX(0,E106+K106-Z106)</f>
        <v>0</v>
      </c>
      <c r="AG106" s="15" t="n">
        <f aca="false">MAX(0,F106+L106-AA106)</f>
        <v>0</v>
      </c>
      <c r="AH106" s="15" t="n">
        <f aca="false">MAX(0,G106+M106-AB106)</f>
        <v>0</v>
      </c>
      <c r="AI106" s="15" t="n">
        <f aca="false">SUM(H106:M106)</f>
        <v>0</v>
      </c>
      <c r="AJ106" s="15" t="n">
        <f aca="false">SUM(AC106:AH106)</f>
        <v>0</v>
      </c>
    </row>
    <row r="107" customFormat="false" ht="15" hidden="false" customHeight="false" outlineLevel="0" collapsed="false">
      <c r="A107" s="0" t="n">
        <v>103</v>
      </c>
      <c r="B107" s="15" t="n">
        <f aca="false">AC106</f>
        <v>0</v>
      </c>
      <c r="C107" s="15" t="n">
        <f aca="false">AD106</f>
        <v>0</v>
      </c>
      <c r="D107" s="15" t="n">
        <f aca="false">AE106</f>
        <v>0</v>
      </c>
      <c r="E107" s="15" t="n">
        <f aca="false">AF106</f>
        <v>0</v>
      </c>
      <c r="F107" s="15" t="n">
        <f aca="false">AG106</f>
        <v>0</v>
      </c>
      <c r="G107" s="15" t="n">
        <f aca="false">AH106</f>
        <v>0</v>
      </c>
      <c r="H107" s="15" t="n">
        <f aca="false">B107*N(Debts!C7)/12</f>
        <v>0</v>
      </c>
      <c r="I107" s="15" t="n">
        <f aca="false">C107*N(Debts!C8)/12</f>
        <v>0</v>
      </c>
      <c r="J107" s="15" t="n">
        <f aca="false">D107*N(Debts!C9)/12</f>
        <v>0</v>
      </c>
      <c r="K107" s="15" t="n">
        <f aca="false">E107*N(Debts!C10)/12</f>
        <v>0</v>
      </c>
      <c r="L107" s="15" t="n">
        <f aca="false">F107*N(Debts!C11)/12</f>
        <v>0</v>
      </c>
      <c r="M107" s="15" t="n">
        <f aca="false">G107*N(Debts!C12)/12</f>
        <v>0</v>
      </c>
      <c r="N107" s="15" t="n">
        <f aca="false">MIN(B107+H107,N(Debts!D7))</f>
        <v>0</v>
      </c>
      <c r="O107" s="15" t="n">
        <f aca="false">MIN(C107+I107,N(Debts!D8))</f>
        <v>0</v>
      </c>
      <c r="P107" s="15" t="n">
        <f aca="false">MIN(D107+J107,N(Debts!D9))</f>
        <v>0</v>
      </c>
      <c r="Q107" s="15" t="n">
        <f aca="false">MIN(E107+K107,N(Debts!D10))</f>
        <v>0</v>
      </c>
      <c r="R107" s="15" t="n">
        <f aca="false">MIN(F107+L107,N(Debts!D11))</f>
        <v>0</v>
      </c>
      <c r="S107" s="15" t="n">
        <f aca="false">MIN(G107+M107,N(Debts!D12))</f>
        <v>0</v>
      </c>
      <c r="T107" s="15" t="n">
        <f aca="false">Debts!$B$14</f>
        <v>286</v>
      </c>
      <c r="U107" s="15" t="n">
        <f aca="false">MAX(0,T107-SUM(N107:S107))</f>
        <v>286</v>
      </c>
      <c r="V107" s="16" t="n">
        <f aca="false">_xlfn.MINIFS($B$3:$G$3,B107:G107,"&gt;0.005")</f>
        <v>0</v>
      </c>
      <c r="W107" s="15" t="n">
        <f aca="false">IF(B107&lt;=0.005,0,MIN(B107+H107,N107+IF(B$3=$V107,$U107,0)))</f>
        <v>0</v>
      </c>
      <c r="X107" s="15" t="n">
        <f aca="false">IF(C107&lt;=0.005,0,MIN(C107+I107,O107+IF(C$3=$V107,$U107,0)))</f>
        <v>0</v>
      </c>
      <c r="Y107" s="15" t="n">
        <f aca="false">IF(D107&lt;=0.005,0,MIN(D107+J107,P107+IF(D$3=$V107,$U107,0)))</f>
        <v>0</v>
      </c>
      <c r="Z107" s="15" t="n">
        <f aca="false">IF(E107&lt;=0.005,0,MIN(E107+K107,Q107+IF(E$3=$V107,$U107,0)))</f>
        <v>0</v>
      </c>
      <c r="AA107" s="15" t="n">
        <f aca="false">IF(F107&lt;=0.005,0,MIN(F107+L107,R107+IF(F$3=$V107,$U107,0)))</f>
        <v>0</v>
      </c>
      <c r="AB107" s="15" t="n">
        <f aca="false">IF(G107&lt;=0.005,0,MIN(G107+M107,S107+IF(G$3=$V107,$U107,0)))</f>
        <v>0</v>
      </c>
      <c r="AC107" s="15" t="n">
        <f aca="false">MAX(0,B107+H107-W107)</f>
        <v>0</v>
      </c>
      <c r="AD107" s="15" t="n">
        <f aca="false">MAX(0,C107+I107-X107)</f>
        <v>0</v>
      </c>
      <c r="AE107" s="15" t="n">
        <f aca="false">MAX(0,D107+J107-Y107)</f>
        <v>0</v>
      </c>
      <c r="AF107" s="15" t="n">
        <f aca="false">MAX(0,E107+K107-Z107)</f>
        <v>0</v>
      </c>
      <c r="AG107" s="15" t="n">
        <f aca="false">MAX(0,F107+L107-AA107)</f>
        <v>0</v>
      </c>
      <c r="AH107" s="15" t="n">
        <f aca="false">MAX(0,G107+M107-AB107)</f>
        <v>0</v>
      </c>
      <c r="AI107" s="15" t="n">
        <f aca="false">SUM(H107:M107)</f>
        <v>0</v>
      </c>
      <c r="AJ107" s="15" t="n">
        <f aca="false">SUM(AC107:AH107)</f>
        <v>0</v>
      </c>
    </row>
    <row r="108" customFormat="false" ht="15" hidden="false" customHeight="false" outlineLevel="0" collapsed="false">
      <c r="A108" s="0" t="n">
        <v>104</v>
      </c>
      <c r="B108" s="15" t="n">
        <f aca="false">AC107</f>
        <v>0</v>
      </c>
      <c r="C108" s="15" t="n">
        <f aca="false">AD107</f>
        <v>0</v>
      </c>
      <c r="D108" s="15" t="n">
        <f aca="false">AE107</f>
        <v>0</v>
      </c>
      <c r="E108" s="15" t="n">
        <f aca="false">AF107</f>
        <v>0</v>
      </c>
      <c r="F108" s="15" t="n">
        <f aca="false">AG107</f>
        <v>0</v>
      </c>
      <c r="G108" s="15" t="n">
        <f aca="false">AH107</f>
        <v>0</v>
      </c>
      <c r="H108" s="15" t="n">
        <f aca="false">B108*N(Debts!C7)/12</f>
        <v>0</v>
      </c>
      <c r="I108" s="15" t="n">
        <f aca="false">C108*N(Debts!C8)/12</f>
        <v>0</v>
      </c>
      <c r="J108" s="15" t="n">
        <f aca="false">D108*N(Debts!C9)/12</f>
        <v>0</v>
      </c>
      <c r="K108" s="15" t="n">
        <f aca="false">E108*N(Debts!C10)/12</f>
        <v>0</v>
      </c>
      <c r="L108" s="15" t="n">
        <f aca="false">F108*N(Debts!C11)/12</f>
        <v>0</v>
      </c>
      <c r="M108" s="15" t="n">
        <f aca="false">G108*N(Debts!C12)/12</f>
        <v>0</v>
      </c>
      <c r="N108" s="15" t="n">
        <f aca="false">MIN(B108+H108,N(Debts!D7))</f>
        <v>0</v>
      </c>
      <c r="O108" s="15" t="n">
        <f aca="false">MIN(C108+I108,N(Debts!D8))</f>
        <v>0</v>
      </c>
      <c r="P108" s="15" t="n">
        <f aca="false">MIN(D108+J108,N(Debts!D9))</f>
        <v>0</v>
      </c>
      <c r="Q108" s="15" t="n">
        <f aca="false">MIN(E108+K108,N(Debts!D10))</f>
        <v>0</v>
      </c>
      <c r="R108" s="15" t="n">
        <f aca="false">MIN(F108+L108,N(Debts!D11))</f>
        <v>0</v>
      </c>
      <c r="S108" s="15" t="n">
        <f aca="false">MIN(G108+M108,N(Debts!D12))</f>
        <v>0</v>
      </c>
      <c r="T108" s="15" t="n">
        <f aca="false">Debts!$B$14</f>
        <v>286</v>
      </c>
      <c r="U108" s="15" t="n">
        <f aca="false">MAX(0,T108-SUM(N108:S108))</f>
        <v>286</v>
      </c>
      <c r="V108" s="16" t="n">
        <f aca="false">_xlfn.MINIFS($B$3:$G$3,B108:G108,"&gt;0.005")</f>
        <v>0</v>
      </c>
      <c r="W108" s="15" t="n">
        <f aca="false">IF(B108&lt;=0.005,0,MIN(B108+H108,N108+IF(B$3=$V108,$U108,0)))</f>
        <v>0</v>
      </c>
      <c r="X108" s="15" t="n">
        <f aca="false">IF(C108&lt;=0.005,0,MIN(C108+I108,O108+IF(C$3=$V108,$U108,0)))</f>
        <v>0</v>
      </c>
      <c r="Y108" s="15" t="n">
        <f aca="false">IF(D108&lt;=0.005,0,MIN(D108+J108,P108+IF(D$3=$V108,$U108,0)))</f>
        <v>0</v>
      </c>
      <c r="Z108" s="15" t="n">
        <f aca="false">IF(E108&lt;=0.005,0,MIN(E108+K108,Q108+IF(E$3=$V108,$U108,0)))</f>
        <v>0</v>
      </c>
      <c r="AA108" s="15" t="n">
        <f aca="false">IF(F108&lt;=0.005,0,MIN(F108+L108,R108+IF(F$3=$V108,$U108,0)))</f>
        <v>0</v>
      </c>
      <c r="AB108" s="15" t="n">
        <f aca="false">IF(G108&lt;=0.005,0,MIN(G108+M108,S108+IF(G$3=$V108,$U108,0)))</f>
        <v>0</v>
      </c>
      <c r="AC108" s="15" t="n">
        <f aca="false">MAX(0,B108+H108-W108)</f>
        <v>0</v>
      </c>
      <c r="AD108" s="15" t="n">
        <f aca="false">MAX(0,C108+I108-X108)</f>
        <v>0</v>
      </c>
      <c r="AE108" s="15" t="n">
        <f aca="false">MAX(0,D108+J108-Y108)</f>
        <v>0</v>
      </c>
      <c r="AF108" s="15" t="n">
        <f aca="false">MAX(0,E108+K108-Z108)</f>
        <v>0</v>
      </c>
      <c r="AG108" s="15" t="n">
        <f aca="false">MAX(0,F108+L108-AA108)</f>
        <v>0</v>
      </c>
      <c r="AH108" s="15" t="n">
        <f aca="false">MAX(0,G108+M108-AB108)</f>
        <v>0</v>
      </c>
      <c r="AI108" s="15" t="n">
        <f aca="false">SUM(H108:M108)</f>
        <v>0</v>
      </c>
      <c r="AJ108" s="15" t="n">
        <f aca="false">SUM(AC108:AH108)</f>
        <v>0</v>
      </c>
    </row>
    <row r="109" customFormat="false" ht="15" hidden="false" customHeight="false" outlineLevel="0" collapsed="false">
      <c r="A109" s="0" t="n">
        <v>105</v>
      </c>
      <c r="B109" s="15" t="n">
        <f aca="false">AC108</f>
        <v>0</v>
      </c>
      <c r="C109" s="15" t="n">
        <f aca="false">AD108</f>
        <v>0</v>
      </c>
      <c r="D109" s="15" t="n">
        <f aca="false">AE108</f>
        <v>0</v>
      </c>
      <c r="E109" s="15" t="n">
        <f aca="false">AF108</f>
        <v>0</v>
      </c>
      <c r="F109" s="15" t="n">
        <f aca="false">AG108</f>
        <v>0</v>
      </c>
      <c r="G109" s="15" t="n">
        <f aca="false">AH108</f>
        <v>0</v>
      </c>
      <c r="H109" s="15" t="n">
        <f aca="false">B109*N(Debts!C7)/12</f>
        <v>0</v>
      </c>
      <c r="I109" s="15" t="n">
        <f aca="false">C109*N(Debts!C8)/12</f>
        <v>0</v>
      </c>
      <c r="J109" s="15" t="n">
        <f aca="false">D109*N(Debts!C9)/12</f>
        <v>0</v>
      </c>
      <c r="K109" s="15" t="n">
        <f aca="false">E109*N(Debts!C10)/12</f>
        <v>0</v>
      </c>
      <c r="L109" s="15" t="n">
        <f aca="false">F109*N(Debts!C11)/12</f>
        <v>0</v>
      </c>
      <c r="M109" s="15" t="n">
        <f aca="false">G109*N(Debts!C12)/12</f>
        <v>0</v>
      </c>
      <c r="N109" s="15" t="n">
        <f aca="false">MIN(B109+H109,N(Debts!D7))</f>
        <v>0</v>
      </c>
      <c r="O109" s="15" t="n">
        <f aca="false">MIN(C109+I109,N(Debts!D8))</f>
        <v>0</v>
      </c>
      <c r="P109" s="15" t="n">
        <f aca="false">MIN(D109+J109,N(Debts!D9))</f>
        <v>0</v>
      </c>
      <c r="Q109" s="15" t="n">
        <f aca="false">MIN(E109+K109,N(Debts!D10))</f>
        <v>0</v>
      </c>
      <c r="R109" s="15" t="n">
        <f aca="false">MIN(F109+L109,N(Debts!D11))</f>
        <v>0</v>
      </c>
      <c r="S109" s="15" t="n">
        <f aca="false">MIN(G109+M109,N(Debts!D12))</f>
        <v>0</v>
      </c>
      <c r="T109" s="15" t="n">
        <f aca="false">Debts!$B$14</f>
        <v>286</v>
      </c>
      <c r="U109" s="15" t="n">
        <f aca="false">MAX(0,T109-SUM(N109:S109))</f>
        <v>286</v>
      </c>
      <c r="V109" s="16" t="n">
        <f aca="false">_xlfn.MINIFS($B$3:$G$3,B109:G109,"&gt;0.005")</f>
        <v>0</v>
      </c>
      <c r="W109" s="15" t="n">
        <f aca="false">IF(B109&lt;=0.005,0,MIN(B109+H109,N109+IF(B$3=$V109,$U109,0)))</f>
        <v>0</v>
      </c>
      <c r="X109" s="15" t="n">
        <f aca="false">IF(C109&lt;=0.005,0,MIN(C109+I109,O109+IF(C$3=$V109,$U109,0)))</f>
        <v>0</v>
      </c>
      <c r="Y109" s="15" t="n">
        <f aca="false">IF(D109&lt;=0.005,0,MIN(D109+J109,P109+IF(D$3=$V109,$U109,0)))</f>
        <v>0</v>
      </c>
      <c r="Z109" s="15" t="n">
        <f aca="false">IF(E109&lt;=0.005,0,MIN(E109+K109,Q109+IF(E$3=$V109,$U109,0)))</f>
        <v>0</v>
      </c>
      <c r="AA109" s="15" t="n">
        <f aca="false">IF(F109&lt;=0.005,0,MIN(F109+L109,R109+IF(F$3=$V109,$U109,0)))</f>
        <v>0</v>
      </c>
      <c r="AB109" s="15" t="n">
        <f aca="false">IF(G109&lt;=0.005,0,MIN(G109+M109,S109+IF(G$3=$V109,$U109,0)))</f>
        <v>0</v>
      </c>
      <c r="AC109" s="15" t="n">
        <f aca="false">MAX(0,B109+H109-W109)</f>
        <v>0</v>
      </c>
      <c r="AD109" s="15" t="n">
        <f aca="false">MAX(0,C109+I109-X109)</f>
        <v>0</v>
      </c>
      <c r="AE109" s="15" t="n">
        <f aca="false">MAX(0,D109+J109-Y109)</f>
        <v>0</v>
      </c>
      <c r="AF109" s="15" t="n">
        <f aca="false">MAX(0,E109+K109-Z109)</f>
        <v>0</v>
      </c>
      <c r="AG109" s="15" t="n">
        <f aca="false">MAX(0,F109+L109-AA109)</f>
        <v>0</v>
      </c>
      <c r="AH109" s="15" t="n">
        <f aca="false">MAX(0,G109+M109-AB109)</f>
        <v>0</v>
      </c>
      <c r="AI109" s="15" t="n">
        <f aca="false">SUM(H109:M109)</f>
        <v>0</v>
      </c>
      <c r="AJ109" s="15" t="n">
        <f aca="false">SUM(AC109:AH109)</f>
        <v>0</v>
      </c>
    </row>
    <row r="110" customFormat="false" ht="15" hidden="false" customHeight="false" outlineLevel="0" collapsed="false">
      <c r="A110" s="0" t="n">
        <v>106</v>
      </c>
      <c r="B110" s="15" t="n">
        <f aca="false">AC109</f>
        <v>0</v>
      </c>
      <c r="C110" s="15" t="n">
        <f aca="false">AD109</f>
        <v>0</v>
      </c>
      <c r="D110" s="15" t="n">
        <f aca="false">AE109</f>
        <v>0</v>
      </c>
      <c r="E110" s="15" t="n">
        <f aca="false">AF109</f>
        <v>0</v>
      </c>
      <c r="F110" s="15" t="n">
        <f aca="false">AG109</f>
        <v>0</v>
      </c>
      <c r="G110" s="15" t="n">
        <f aca="false">AH109</f>
        <v>0</v>
      </c>
      <c r="H110" s="15" t="n">
        <f aca="false">B110*N(Debts!C7)/12</f>
        <v>0</v>
      </c>
      <c r="I110" s="15" t="n">
        <f aca="false">C110*N(Debts!C8)/12</f>
        <v>0</v>
      </c>
      <c r="J110" s="15" t="n">
        <f aca="false">D110*N(Debts!C9)/12</f>
        <v>0</v>
      </c>
      <c r="K110" s="15" t="n">
        <f aca="false">E110*N(Debts!C10)/12</f>
        <v>0</v>
      </c>
      <c r="L110" s="15" t="n">
        <f aca="false">F110*N(Debts!C11)/12</f>
        <v>0</v>
      </c>
      <c r="M110" s="15" t="n">
        <f aca="false">G110*N(Debts!C12)/12</f>
        <v>0</v>
      </c>
      <c r="N110" s="15" t="n">
        <f aca="false">MIN(B110+H110,N(Debts!D7))</f>
        <v>0</v>
      </c>
      <c r="O110" s="15" t="n">
        <f aca="false">MIN(C110+I110,N(Debts!D8))</f>
        <v>0</v>
      </c>
      <c r="P110" s="15" t="n">
        <f aca="false">MIN(D110+J110,N(Debts!D9))</f>
        <v>0</v>
      </c>
      <c r="Q110" s="15" t="n">
        <f aca="false">MIN(E110+K110,N(Debts!D10))</f>
        <v>0</v>
      </c>
      <c r="R110" s="15" t="n">
        <f aca="false">MIN(F110+L110,N(Debts!D11))</f>
        <v>0</v>
      </c>
      <c r="S110" s="15" t="n">
        <f aca="false">MIN(G110+M110,N(Debts!D12))</f>
        <v>0</v>
      </c>
      <c r="T110" s="15" t="n">
        <f aca="false">Debts!$B$14</f>
        <v>286</v>
      </c>
      <c r="U110" s="15" t="n">
        <f aca="false">MAX(0,T110-SUM(N110:S110))</f>
        <v>286</v>
      </c>
      <c r="V110" s="16" t="n">
        <f aca="false">_xlfn.MINIFS($B$3:$G$3,B110:G110,"&gt;0.005")</f>
        <v>0</v>
      </c>
      <c r="W110" s="15" t="n">
        <f aca="false">IF(B110&lt;=0.005,0,MIN(B110+H110,N110+IF(B$3=$V110,$U110,0)))</f>
        <v>0</v>
      </c>
      <c r="X110" s="15" t="n">
        <f aca="false">IF(C110&lt;=0.005,0,MIN(C110+I110,O110+IF(C$3=$V110,$U110,0)))</f>
        <v>0</v>
      </c>
      <c r="Y110" s="15" t="n">
        <f aca="false">IF(D110&lt;=0.005,0,MIN(D110+J110,P110+IF(D$3=$V110,$U110,0)))</f>
        <v>0</v>
      </c>
      <c r="Z110" s="15" t="n">
        <f aca="false">IF(E110&lt;=0.005,0,MIN(E110+K110,Q110+IF(E$3=$V110,$U110,0)))</f>
        <v>0</v>
      </c>
      <c r="AA110" s="15" t="n">
        <f aca="false">IF(F110&lt;=0.005,0,MIN(F110+L110,R110+IF(F$3=$V110,$U110,0)))</f>
        <v>0</v>
      </c>
      <c r="AB110" s="15" t="n">
        <f aca="false">IF(G110&lt;=0.005,0,MIN(G110+M110,S110+IF(G$3=$V110,$U110,0)))</f>
        <v>0</v>
      </c>
      <c r="AC110" s="15" t="n">
        <f aca="false">MAX(0,B110+H110-W110)</f>
        <v>0</v>
      </c>
      <c r="AD110" s="15" t="n">
        <f aca="false">MAX(0,C110+I110-X110)</f>
        <v>0</v>
      </c>
      <c r="AE110" s="15" t="n">
        <f aca="false">MAX(0,D110+J110-Y110)</f>
        <v>0</v>
      </c>
      <c r="AF110" s="15" t="n">
        <f aca="false">MAX(0,E110+K110-Z110)</f>
        <v>0</v>
      </c>
      <c r="AG110" s="15" t="n">
        <f aca="false">MAX(0,F110+L110-AA110)</f>
        <v>0</v>
      </c>
      <c r="AH110" s="15" t="n">
        <f aca="false">MAX(0,G110+M110-AB110)</f>
        <v>0</v>
      </c>
      <c r="AI110" s="15" t="n">
        <f aca="false">SUM(H110:M110)</f>
        <v>0</v>
      </c>
      <c r="AJ110" s="15" t="n">
        <f aca="false">SUM(AC110:AH110)</f>
        <v>0</v>
      </c>
    </row>
    <row r="111" customFormat="false" ht="15" hidden="false" customHeight="false" outlineLevel="0" collapsed="false">
      <c r="A111" s="0" t="n">
        <v>107</v>
      </c>
      <c r="B111" s="15" t="n">
        <f aca="false">AC110</f>
        <v>0</v>
      </c>
      <c r="C111" s="15" t="n">
        <f aca="false">AD110</f>
        <v>0</v>
      </c>
      <c r="D111" s="15" t="n">
        <f aca="false">AE110</f>
        <v>0</v>
      </c>
      <c r="E111" s="15" t="n">
        <f aca="false">AF110</f>
        <v>0</v>
      </c>
      <c r="F111" s="15" t="n">
        <f aca="false">AG110</f>
        <v>0</v>
      </c>
      <c r="G111" s="15" t="n">
        <f aca="false">AH110</f>
        <v>0</v>
      </c>
      <c r="H111" s="15" t="n">
        <f aca="false">B111*N(Debts!C7)/12</f>
        <v>0</v>
      </c>
      <c r="I111" s="15" t="n">
        <f aca="false">C111*N(Debts!C8)/12</f>
        <v>0</v>
      </c>
      <c r="J111" s="15" t="n">
        <f aca="false">D111*N(Debts!C9)/12</f>
        <v>0</v>
      </c>
      <c r="K111" s="15" t="n">
        <f aca="false">E111*N(Debts!C10)/12</f>
        <v>0</v>
      </c>
      <c r="L111" s="15" t="n">
        <f aca="false">F111*N(Debts!C11)/12</f>
        <v>0</v>
      </c>
      <c r="M111" s="15" t="n">
        <f aca="false">G111*N(Debts!C12)/12</f>
        <v>0</v>
      </c>
      <c r="N111" s="15" t="n">
        <f aca="false">MIN(B111+H111,N(Debts!D7))</f>
        <v>0</v>
      </c>
      <c r="O111" s="15" t="n">
        <f aca="false">MIN(C111+I111,N(Debts!D8))</f>
        <v>0</v>
      </c>
      <c r="P111" s="15" t="n">
        <f aca="false">MIN(D111+J111,N(Debts!D9))</f>
        <v>0</v>
      </c>
      <c r="Q111" s="15" t="n">
        <f aca="false">MIN(E111+K111,N(Debts!D10))</f>
        <v>0</v>
      </c>
      <c r="R111" s="15" t="n">
        <f aca="false">MIN(F111+L111,N(Debts!D11))</f>
        <v>0</v>
      </c>
      <c r="S111" s="15" t="n">
        <f aca="false">MIN(G111+M111,N(Debts!D12))</f>
        <v>0</v>
      </c>
      <c r="T111" s="15" t="n">
        <f aca="false">Debts!$B$14</f>
        <v>286</v>
      </c>
      <c r="U111" s="15" t="n">
        <f aca="false">MAX(0,T111-SUM(N111:S111))</f>
        <v>286</v>
      </c>
      <c r="V111" s="16" t="n">
        <f aca="false">_xlfn.MINIFS($B$3:$G$3,B111:G111,"&gt;0.005")</f>
        <v>0</v>
      </c>
      <c r="W111" s="15" t="n">
        <f aca="false">IF(B111&lt;=0.005,0,MIN(B111+H111,N111+IF(B$3=$V111,$U111,0)))</f>
        <v>0</v>
      </c>
      <c r="X111" s="15" t="n">
        <f aca="false">IF(C111&lt;=0.005,0,MIN(C111+I111,O111+IF(C$3=$V111,$U111,0)))</f>
        <v>0</v>
      </c>
      <c r="Y111" s="15" t="n">
        <f aca="false">IF(D111&lt;=0.005,0,MIN(D111+J111,P111+IF(D$3=$V111,$U111,0)))</f>
        <v>0</v>
      </c>
      <c r="Z111" s="15" t="n">
        <f aca="false">IF(E111&lt;=0.005,0,MIN(E111+K111,Q111+IF(E$3=$V111,$U111,0)))</f>
        <v>0</v>
      </c>
      <c r="AA111" s="15" t="n">
        <f aca="false">IF(F111&lt;=0.005,0,MIN(F111+L111,R111+IF(F$3=$V111,$U111,0)))</f>
        <v>0</v>
      </c>
      <c r="AB111" s="15" t="n">
        <f aca="false">IF(G111&lt;=0.005,0,MIN(G111+M111,S111+IF(G$3=$V111,$U111,0)))</f>
        <v>0</v>
      </c>
      <c r="AC111" s="15" t="n">
        <f aca="false">MAX(0,B111+H111-W111)</f>
        <v>0</v>
      </c>
      <c r="AD111" s="15" t="n">
        <f aca="false">MAX(0,C111+I111-X111)</f>
        <v>0</v>
      </c>
      <c r="AE111" s="15" t="n">
        <f aca="false">MAX(0,D111+J111-Y111)</f>
        <v>0</v>
      </c>
      <c r="AF111" s="15" t="n">
        <f aca="false">MAX(0,E111+K111-Z111)</f>
        <v>0</v>
      </c>
      <c r="AG111" s="15" t="n">
        <f aca="false">MAX(0,F111+L111-AA111)</f>
        <v>0</v>
      </c>
      <c r="AH111" s="15" t="n">
        <f aca="false">MAX(0,G111+M111-AB111)</f>
        <v>0</v>
      </c>
      <c r="AI111" s="15" t="n">
        <f aca="false">SUM(H111:M111)</f>
        <v>0</v>
      </c>
      <c r="AJ111" s="15" t="n">
        <f aca="false">SUM(AC111:AH111)</f>
        <v>0</v>
      </c>
    </row>
    <row r="112" customFormat="false" ht="15" hidden="false" customHeight="false" outlineLevel="0" collapsed="false">
      <c r="A112" s="0" t="n">
        <v>108</v>
      </c>
      <c r="B112" s="15" t="n">
        <f aca="false">AC111</f>
        <v>0</v>
      </c>
      <c r="C112" s="15" t="n">
        <f aca="false">AD111</f>
        <v>0</v>
      </c>
      <c r="D112" s="15" t="n">
        <f aca="false">AE111</f>
        <v>0</v>
      </c>
      <c r="E112" s="15" t="n">
        <f aca="false">AF111</f>
        <v>0</v>
      </c>
      <c r="F112" s="15" t="n">
        <f aca="false">AG111</f>
        <v>0</v>
      </c>
      <c r="G112" s="15" t="n">
        <f aca="false">AH111</f>
        <v>0</v>
      </c>
      <c r="H112" s="15" t="n">
        <f aca="false">B112*N(Debts!C7)/12</f>
        <v>0</v>
      </c>
      <c r="I112" s="15" t="n">
        <f aca="false">C112*N(Debts!C8)/12</f>
        <v>0</v>
      </c>
      <c r="J112" s="15" t="n">
        <f aca="false">D112*N(Debts!C9)/12</f>
        <v>0</v>
      </c>
      <c r="K112" s="15" t="n">
        <f aca="false">E112*N(Debts!C10)/12</f>
        <v>0</v>
      </c>
      <c r="L112" s="15" t="n">
        <f aca="false">F112*N(Debts!C11)/12</f>
        <v>0</v>
      </c>
      <c r="M112" s="15" t="n">
        <f aca="false">G112*N(Debts!C12)/12</f>
        <v>0</v>
      </c>
      <c r="N112" s="15" t="n">
        <f aca="false">MIN(B112+H112,N(Debts!D7))</f>
        <v>0</v>
      </c>
      <c r="O112" s="15" t="n">
        <f aca="false">MIN(C112+I112,N(Debts!D8))</f>
        <v>0</v>
      </c>
      <c r="P112" s="15" t="n">
        <f aca="false">MIN(D112+J112,N(Debts!D9))</f>
        <v>0</v>
      </c>
      <c r="Q112" s="15" t="n">
        <f aca="false">MIN(E112+K112,N(Debts!D10))</f>
        <v>0</v>
      </c>
      <c r="R112" s="15" t="n">
        <f aca="false">MIN(F112+L112,N(Debts!D11))</f>
        <v>0</v>
      </c>
      <c r="S112" s="15" t="n">
        <f aca="false">MIN(G112+M112,N(Debts!D12))</f>
        <v>0</v>
      </c>
      <c r="T112" s="15" t="n">
        <f aca="false">Debts!$B$14</f>
        <v>286</v>
      </c>
      <c r="U112" s="15" t="n">
        <f aca="false">MAX(0,T112-SUM(N112:S112))</f>
        <v>286</v>
      </c>
      <c r="V112" s="16" t="n">
        <f aca="false">_xlfn.MINIFS($B$3:$G$3,B112:G112,"&gt;0.005")</f>
        <v>0</v>
      </c>
      <c r="W112" s="15" t="n">
        <f aca="false">IF(B112&lt;=0.005,0,MIN(B112+H112,N112+IF(B$3=$V112,$U112,0)))</f>
        <v>0</v>
      </c>
      <c r="X112" s="15" t="n">
        <f aca="false">IF(C112&lt;=0.005,0,MIN(C112+I112,O112+IF(C$3=$V112,$U112,0)))</f>
        <v>0</v>
      </c>
      <c r="Y112" s="15" t="n">
        <f aca="false">IF(D112&lt;=0.005,0,MIN(D112+J112,P112+IF(D$3=$V112,$U112,0)))</f>
        <v>0</v>
      </c>
      <c r="Z112" s="15" t="n">
        <f aca="false">IF(E112&lt;=0.005,0,MIN(E112+K112,Q112+IF(E$3=$V112,$U112,0)))</f>
        <v>0</v>
      </c>
      <c r="AA112" s="15" t="n">
        <f aca="false">IF(F112&lt;=0.005,0,MIN(F112+L112,R112+IF(F$3=$V112,$U112,0)))</f>
        <v>0</v>
      </c>
      <c r="AB112" s="15" t="n">
        <f aca="false">IF(G112&lt;=0.005,0,MIN(G112+M112,S112+IF(G$3=$V112,$U112,0)))</f>
        <v>0</v>
      </c>
      <c r="AC112" s="15" t="n">
        <f aca="false">MAX(0,B112+H112-W112)</f>
        <v>0</v>
      </c>
      <c r="AD112" s="15" t="n">
        <f aca="false">MAX(0,C112+I112-X112)</f>
        <v>0</v>
      </c>
      <c r="AE112" s="15" t="n">
        <f aca="false">MAX(0,D112+J112-Y112)</f>
        <v>0</v>
      </c>
      <c r="AF112" s="15" t="n">
        <f aca="false">MAX(0,E112+K112-Z112)</f>
        <v>0</v>
      </c>
      <c r="AG112" s="15" t="n">
        <f aca="false">MAX(0,F112+L112-AA112)</f>
        <v>0</v>
      </c>
      <c r="AH112" s="15" t="n">
        <f aca="false">MAX(0,G112+M112-AB112)</f>
        <v>0</v>
      </c>
      <c r="AI112" s="15" t="n">
        <f aca="false">SUM(H112:M112)</f>
        <v>0</v>
      </c>
      <c r="AJ112" s="15" t="n">
        <f aca="false">SUM(AC112:AH112)</f>
        <v>0</v>
      </c>
    </row>
    <row r="113" customFormat="false" ht="15" hidden="false" customHeight="false" outlineLevel="0" collapsed="false">
      <c r="A113" s="0" t="n">
        <v>109</v>
      </c>
      <c r="B113" s="15" t="n">
        <f aca="false">AC112</f>
        <v>0</v>
      </c>
      <c r="C113" s="15" t="n">
        <f aca="false">AD112</f>
        <v>0</v>
      </c>
      <c r="D113" s="15" t="n">
        <f aca="false">AE112</f>
        <v>0</v>
      </c>
      <c r="E113" s="15" t="n">
        <f aca="false">AF112</f>
        <v>0</v>
      </c>
      <c r="F113" s="15" t="n">
        <f aca="false">AG112</f>
        <v>0</v>
      </c>
      <c r="G113" s="15" t="n">
        <f aca="false">AH112</f>
        <v>0</v>
      </c>
      <c r="H113" s="15" t="n">
        <f aca="false">B113*N(Debts!C7)/12</f>
        <v>0</v>
      </c>
      <c r="I113" s="15" t="n">
        <f aca="false">C113*N(Debts!C8)/12</f>
        <v>0</v>
      </c>
      <c r="J113" s="15" t="n">
        <f aca="false">D113*N(Debts!C9)/12</f>
        <v>0</v>
      </c>
      <c r="K113" s="15" t="n">
        <f aca="false">E113*N(Debts!C10)/12</f>
        <v>0</v>
      </c>
      <c r="L113" s="15" t="n">
        <f aca="false">F113*N(Debts!C11)/12</f>
        <v>0</v>
      </c>
      <c r="M113" s="15" t="n">
        <f aca="false">G113*N(Debts!C12)/12</f>
        <v>0</v>
      </c>
      <c r="N113" s="15" t="n">
        <f aca="false">MIN(B113+H113,N(Debts!D7))</f>
        <v>0</v>
      </c>
      <c r="O113" s="15" t="n">
        <f aca="false">MIN(C113+I113,N(Debts!D8))</f>
        <v>0</v>
      </c>
      <c r="P113" s="15" t="n">
        <f aca="false">MIN(D113+J113,N(Debts!D9))</f>
        <v>0</v>
      </c>
      <c r="Q113" s="15" t="n">
        <f aca="false">MIN(E113+K113,N(Debts!D10))</f>
        <v>0</v>
      </c>
      <c r="R113" s="15" t="n">
        <f aca="false">MIN(F113+L113,N(Debts!D11))</f>
        <v>0</v>
      </c>
      <c r="S113" s="15" t="n">
        <f aca="false">MIN(G113+M113,N(Debts!D12))</f>
        <v>0</v>
      </c>
      <c r="T113" s="15" t="n">
        <f aca="false">Debts!$B$14</f>
        <v>286</v>
      </c>
      <c r="U113" s="15" t="n">
        <f aca="false">MAX(0,T113-SUM(N113:S113))</f>
        <v>286</v>
      </c>
      <c r="V113" s="16" t="n">
        <f aca="false">_xlfn.MINIFS($B$3:$G$3,B113:G113,"&gt;0.005")</f>
        <v>0</v>
      </c>
      <c r="W113" s="15" t="n">
        <f aca="false">IF(B113&lt;=0.005,0,MIN(B113+H113,N113+IF(B$3=$V113,$U113,0)))</f>
        <v>0</v>
      </c>
      <c r="X113" s="15" t="n">
        <f aca="false">IF(C113&lt;=0.005,0,MIN(C113+I113,O113+IF(C$3=$V113,$U113,0)))</f>
        <v>0</v>
      </c>
      <c r="Y113" s="15" t="n">
        <f aca="false">IF(D113&lt;=0.005,0,MIN(D113+J113,P113+IF(D$3=$V113,$U113,0)))</f>
        <v>0</v>
      </c>
      <c r="Z113" s="15" t="n">
        <f aca="false">IF(E113&lt;=0.005,0,MIN(E113+K113,Q113+IF(E$3=$V113,$U113,0)))</f>
        <v>0</v>
      </c>
      <c r="AA113" s="15" t="n">
        <f aca="false">IF(F113&lt;=0.005,0,MIN(F113+L113,R113+IF(F$3=$V113,$U113,0)))</f>
        <v>0</v>
      </c>
      <c r="AB113" s="15" t="n">
        <f aca="false">IF(G113&lt;=0.005,0,MIN(G113+M113,S113+IF(G$3=$V113,$U113,0)))</f>
        <v>0</v>
      </c>
      <c r="AC113" s="15" t="n">
        <f aca="false">MAX(0,B113+H113-W113)</f>
        <v>0</v>
      </c>
      <c r="AD113" s="15" t="n">
        <f aca="false">MAX(0,C113+I113-X113)</f>
        <v>0</v>
      </c>
      <c r="AE113" s="15" t="n">
        <f aca="false">MAX(0,D113+J113-Y113)</f>
        <v>0</v>
      </c>
      <c r="AF113" s="15" t="n">
        <f aca="false">MAX(0,E113+K113-Z113)</f>
        <v>0</v>
      </c>
      <c r="AG113" s="15" t="n">
        <f aca="false">MAX(0,F113+L113-AA113)</f>
        <v>0</v>
      </c>
      <c r="AH113" s="15" t="n">
        <f aca="false">MAX(0,G113+M113-AB113)</f>
        <v>0</v>
      </c>
      <c r="AI113" s="15" t="n">
        <f aca="false">SUM(H113:M113)</f>
        <v>0</v>
      </c>
      <c r="AJ113" s="15" t="n">
        <f aca="false">SUM(AC113:AH113)</f>
        <v>0</v>
      </c>
    </row>
    <row r="114" customFormat="false" ht="15" hidden="false" customHeight="false" outlineLevel="0" collapsed="false">
      <c r="A114" s="0" t="n">
        <v>110</v>
      </c>
      <c r="B114" s="15" t="n">
        <f aca="false">AC113</f>
        <v>0</v>
      </c>
      <c r="C114" s="15" t="n">
        <f aca="false">AD113</f>
        <v>0</v>
      </c>
      <c r="D114" s="15" t="n">
        <f aca="false">AE113</f>
        <v>0</v>
      </c>
      <c r="E114" s="15" t="n">
        <f aca="false">AF113</f>
        <v>0</v>
      </c>
      <c r="F114" s="15" t="n">
        <f aca="false">AG113</f>
        <v>0</v>
      </c>
      <c r="G114" s="15" t="n">
        <f aca="false">AH113</f>
        <v>0</v>
      </c>
      <c r="H114" s="15" t="n">
        <f aca="false">B114*N(Debts!C7)/12</f>
        <v>0</v>
      </c>
      <c r="I114" s="15" t="n">
        <f aca="false">C114*N(Debts!C8)/12</f>
        <v>0</v>
      </c>
      <c r="J114" s="15" t="n">
        <f aca="false">D114*N(Debts!C9)/12</f>
        <v>0</v>
      </c>
      <c r="K114" s="15" t="n">
        <f aca="false">E114*N(Debts!C10)/12</f>
        <v>0</v>
      </c>
      <c r="L114" s="15" t="n">
        <f aca="false">F114*N(Debts!C11)/12</f>
        <v>0</v>
      </c>
      <c r="M114" s="15" t="n">
        <f aca="false">G114*N(Debts!C12)/12</f>
        <v>0</v>
      </c>
      <c r="N114" s="15" t="n">
        <f aca="false">MIN(B114+H114,N(Debts!D7))</f>
        <v>0</v>
      </c>
      <c r="O114" s="15" t="n">
        <f aca="false">MIN(C114+I114,N(Debts!D8))</f>
        <v>0</v>
      </c>
      <c r="P114" s="15" t="n">
        <f aca="false">MIN(D114+J114,N(Debts!D9))</f>
        <v>0</v>
      </c>
      <c r="Q114" s="15" t="n">
        <f aca="false">MIN(E114+K114,N(Debts!D10))</f>
        <v>0</v>
      </c>
      <c r="R114" s="15" t="n">
        <f aca="false">MIN(F114+L114,N(Debts!D11))</f>
        <v>0</v>
      </c>
      <c r="S114" s="15" t="n">
        <f aca="false">MIN(G114+M114,N(Debts!D12))</f>
        <v>0</v>
      </c>
      <c r="T114" s="15" t="n">
        <f aca="false">Debts!$B$14</f>
        <v>286</v>
      </c>
      <c r="U114" s="15" t="n">
        <f aca="false">MAX(0,T114-SUM(N114:S114))</f>
        <v>286</v>
      </c>
      <c r="V114" s="16" t="n">
        <f aca="false">_xlfn.MINIFS($B$3:$G$3,B114:G114,"&gt;0.005")</f>
        <v>0</v>
      </c>
      <c r="W114" s="15" t="n">
        <f aca="false">IF(B114&lt;=0.005,0,MIN(B114+H114,N114+IF(B$3=$V114,$U114,0)))</f>
        <v>0</v>
      </c>
      <c r="X114" s="15" t="n">
        <f aca="false">IF(C114&lt;=0.005,0,MIN(C114+I114,O114+IF(C$3=$V114,$U114,0)))</f>
        <v>0</v>
      </c>
      <c r="Y114" s="15" t="n">
        <f aca="false">IF(D114&lt;=0.005,0,MIN(D114+J114,P114+IF(D$3=$V114,$U114,0)))</f>
        <v>0</v>
      </c>
      <c r="Z114" s="15" t="n">
        <f aca="false">IF(E114&lt;=0.005,0,MIN(E114+K114,Q114+IF(E$3=$V114,$U114,0)))</f>
        <v>0</v>
      </c>
      <c r="AA114" s="15" t="n">
        <f aca="false">IF(F114&lt;=0.005,0,MIN(F114+L114,R114+IF(F$3=$V114,$U114,0)))</f>
        <v>0</v>
      </c>
      <c r="AB114" s="15" t="n">
        <f aca="false">IF(G114&lt;=0.005,0,MIN(G114+M114,S114+IF(G$3=$V114,$U114,0)))</f>
        <v>0</v>
      </c>
      <c r="AC114" s="15" t="n">
        <f aca="false">MAX(0,B114+H114-W114)</f>
        <v>0</v>
      </c>
      <c r="AD114" s="15" t="n">
        <f aca="false">MAX(0,C114+I114-X114)</f>
        <v>0</v>
      </c>
      <c r="AE114" s="15" t="n">
        <f aca="false">MAX(0,D114+J114-Y114)</f>
        <v>0</v>
      </c>
      <c r="AF114" s="15" t="n">
        <f aca="false">MAX(0,E114+K114-Z114)</f>
        <v>0</v>
      </c>
      <c r="AG114" s="15" t="n">
        <f aca="false">MAX(0,F114+L114-AA114)</f>
        <v>0</v>
      </c>
      <c r="AH114" s="15" t="n">
        <f aca="false">MAX(0,G114+M114-AB114)</f>
        <v>0</v>
      </c>
      <c r="AI114" s="15" t="n">
        <f aca="false">SUM(H114:M114)</f>
        <v>0</v>
      </c>
      <c r="AJ114" s="15" t="n">
        <f aca="false">SUM(AC114:AH114)</f>
        <v>0</v>
      </c>
    </row>
    <row r="115" customFormat="false" ht="15" hidden="false" customHeight="false" outlineLevel="0" collapsed="false">
      <c r="A115" s="0" t="n">
        <v>111</v>
      </c>
      <c r="B115" s="15" t="n">
        <f aca="false">AC114</f>
        <v>0</v>
      </c>
      <c r="C115" s="15" t="n">
        <f aca="false">AD114</f>
        <v>0</v>
      </c>
      <c r="D115" s="15" t="n">
        <f aca="false">AE114</f>
        <v>0</v>
      </c>
      <c r="E115" s="15" t="n">
        <f aca="false">AF114</f>
        <v>0</v>
      </c>
      <c r="F115" s="15" t="n">
        <f aca="false">AG114</f>
        <v>0</v>
      </c>
      <c r="G115" s="15" t="n">
        <f aca="false">AH114</f>
        <v>0</v>
      </c>
      <c r="H115" s="15" t="n">
        <f aca="false">B115*N(Debts!C7)/12</f>
        <v>0</v>
      </c>
      <c r="I115" s="15" t="n">
        <f aca="false">C115*N(Debts!C8)/12</f>
        <v>0</v>
      </c>
      <c r="J115" s="15" t="n">
        <f aca="false">D115*N(Debts!C9)/12</f>
        <v>0</v>
      </c>
      <c r="K115" s="15" t="n">
        <f aca="false">E115*N(Debts!C10)/12</f>
        <v>0</v>
      </c>
      <c r="L115" s="15" t="n">
        <f aca="false">F115*N(Debts!C11)/12</f>
        <v>0</v>
      </c>
      <c r="M115" s="15" t="n">
        <f aca="false">G115*N(Debts!C12)/12</f>
        <v>0</v>
      </c>
      <c r="N115" s="15" t="n">
        <f aca="false">MIN(B115+H115,N(Debts!D7))</f>
        <v>0</v>
      </c>
      <c r="O115" s="15" t="n">
        <f aca="false">MIN(C115+I115,N(Debts!D8))</f>
        <v>0</v>
      </c>
      <c r="P115" s="15" t="n">
        <f aca="false">MIN(D115+J115,N(Debts!D9))</f>
        <v>0</v>
      </c>
      <c r="Q115" s="15" t="n">
        <f aca="false">MIN(E115+K115,N(Debts!D10))</f>
        <v>0</v>
      </c>
      <c r="R115" s="15" t="n">
        <f aca="false">MIN(F115+L115,N(Debts!D11))</f>
        <v>0</v>
      </c>
      <c r="S115" s="15" t="n">
        <f aca="false">MIN(G115+M115,N(Debts!D12))</f>
        <v>0</v>
      </c>
      <c r="T115" s="15" t="n">
        <f aca="false">Debts!$B$14</f>
        <v>286</v>
      </c>
      <c r="U115" s="15" t="n">
        <f aca="false">MAX(0,T115-SUM(N115:S115))</f>
        <v>286</v>
      </c>
      <c r="V115" s="16" t="n">
        <f aca="false">_xlfn.MINIFS($B$3:$G$3,B115:G115,"&gt;0.005")</f>
        <v>0</v>
      </c>
      <c r="W115" s="15" t="n">
        <f aca="false">IF(B115&lt;=0.005,0,MIN(B115+H115,N115+IF(B$3=$V115,$U115,0)))</f>
        <v>0</v>
      </c>
      <c r="X115" s="15" t="n">
        <f aca="false">IF(C115&lt;=0.005,0,MIN(C115+I115,O115+IF(C$3=$V115,$U115,0)))</f>
        <v>0</v>
      </c>
      <c r="Y115" s="15" t="n">
        <f aca="false">IF(D115&lt;=0.005,0,MIN(D115+J115,P115+IF(D$3=$V115,$U115,0)))</f>
        <v>0</v>
      </c>
      <c r="Z115" s="15" t="n">
        <f aca="false">IF(E115&lt;=0.005,0,MIN(E115+K115,Q115+IF(E$3=$V115,$U115,0)))</f>
        <v>0</v>
      </c>
      <c r="AA115" s="15" t="n">
        <f aca="false">IF(F115&lt;=0.005,0,MIN(F115+L115,R115+IF(F$3=$V115,$U115,0)))</f>
        <v>0</v>
      </c>
      <c r="AB115" s="15" t="n">
        <f aca="false">IF(G115&lt;=0.005,0,MIN(G115+M115,S115+IF(G$3=$V115,$U115,0)))</f>
        <v>0</v>
      </c>
      <c r="AC115" s="15" t="n">
        <f aca="false">MAX(0,B115+H115-W115)</f>
        <v>0</v>
      </c>
      <c r="AD115" s="15" t="n">
        <f aca="false">MAX(0,C115+I115-X115)</f>
        <v>0</v>
      </c>
      <c r="AE115" s="15" t="n">
        <f aca="false">MAX(0,D115+J115-Y115)</f>
        <v>0</v>
      </c>
      <c r="AF115" s="15" t="n">
        <f aca="false">MAX(0,E115+K115-Z115)</f>
        <v>0</v>
      </c>
      <c r="AG115" s="15" t="n">
        <f aca="false">MAX(0,F115+L115-AA115)</f>
        <v>0</v>
      </c>
      <c r="AH115" s="15" t="n">
        <f aca="false">MAX(0,G115+M115-AB115)</f>
        <v>0</v>
      </c>
      <c r="AI115" s="15" t="n">
        <f aca="false">SUM(H115:M115)</f>
        <v>0</v>
      </c>
      <c r="AJ115" s="15" t="n">
        <f aca="false">SUM(AC115:AH115)</f>
        <v>0</v>
      </c>
    </row>
    <row r="116" customFormat="false" ht="15" hidden="false" customHeight="false" outlineLevel="0" collapsed="false">
      <c r="A116" s="0" t="n">
        <v>112</v>
      </c>
      <c r="B116" s="15" t="n">
        <f aca="false">AC115</f>
        <v>0</v>
      </c>
      <c r="C116" s="15" t="n">
        <f aca="false">AD115</f>
        <v>0</v>
      </c>
      <c r="D116" s="15" t="n">
        <f aca="false">AE115</f>
        <v>0</v>
      </c>
      <c r="E116" s="15" t="n">
        <f aca="false">AF115</f>
        <v>0</v>
      </c>
      <c r="F116" s="15" t="n">
        <f aca="false">AG115</f>
        <v>0</v>
      </c>
      <c r="G116" s="15" t="n">
        <f aca="false">AH115</f>
        <v>0</v>
      </c>
      <c r="H116" s="15" t="n">
        <f aca="false">B116*N(Debts!C7)/12</f>
        <v>0</v>
      </c>
      <c r="I116" s="15" t="n">
        <f aca="false">C116*N(Debts!C8)/12</f>
        <v>0</v>
      </c>
      <c r="J116" s="15" t="n">
        <f aca="false">D116*N(Debts!C9)/12</f>
        <v>0</v>
      </c>
      <c r="K116" s="15" t="n">
        <f aca="false">E116*N(Debts!C10)/12</f>
        <v>0</v>
      </c>
      <c r="L116" s="15" t="n">
        <f aca="false">F116*N(Debts!C11)/12</f>
        <v>0</v>
      </c>
      <c r="M116" s="15" t="n">
        <f aca="false">G116*N(Debts!C12)/12</f>
        <v>0</v>
      </c>
      <c r="N116" s="15" t="n">
        <f aca="false">MIN(B116+H116,N(Debts!D7))</f>
        <v>0</v>
      </c>
      <c r="O116" s="15" t="n">
        <f aca="false">MIN(C116+I116,N(Debts!D8))</f>
        <v>0</v>
      </c>
      <c r="P116" s="15" t="n">
        <f aca="false">MIN(D116+J116,N(Debts!D9))</f>
        <v>0</v>
      </c>
      <c r="Q116" s="15" t="n">
        <f aca="false">MIN(E116+K116,N(Debts!D10))</f>
        <v>0</v>
      </c>
      <c r="R116" s="15" t="n">
        <f aca="false">MIN(F116+L116,N(Debts!D11))</f>
        <v>0</v>
      </c>
      <c r="S116" s="15" t="n">
        <f aca="false">MIN(G116+M116,N(Debts!D12))</f>
        <v>0</v>
      </c>
      <c r="T116" s="15" t="n">
        <f aca="false">Debts!$B$14</f>
        <v>286</v>
      </c>
      <c r="U116" s="15" t="n">
        <f aca="false">MAX(0,T116-SUM(N116:S116))</f>
        <v>286</v>
      </c>
      <c r="V116" s="16" t="n">
        <f aca="false">_xlfn.MINIFS($B$3:$G$3,B116:G116,"&gt;0.005")</f>
        <v>0</v>
      </c>
      <c r="W116" s="15" t="n">
        <f aca="false">IF(B116&lt;=0.005,0,MIN(B116+H116,N116+IF(B$3=$V116,$U116,0)))</f>
        <v>0</v>
      </c>
      <c r="X116" s="15" t="n">
        <f aca="false">IF(C116&lt;=0.005,0,MIN(C116+I116,O116+IF(C$3=$V116,$U116,0)))</f>
        <v>0</v>
      </c>
      <c r="Y116" s="15" t="n">
        <f aca="false">IF(D116&lt;=0.005,0,MIN(D116+J116,P116+IF(D$3=$V116,$U116,0)))</f>
        <v>0</v>
      </c>
      <c r="Z116" s="15" t="n">
        <f aca="false">IF(E116&lt;=0.005,0,MIN(E116+K116,Q116+IF(E$3=$V116,$U116,0)))</f>
        <v>0</v>
      </c>
      <c r="AA116" s="15" t="n">
        <f aca="false">IF(F116&lt;=0.005,0,MIN(F116+L116,R116+IF(F$3=$V116,$U116,0)))</f>
        <v>0</v>
      </c>
      <c r="AB116" s="15" t="n">
        <f aca="false">IF(G116&lt;=0.005,0,MIN(G116+M116,S116+IF(G$3=$V116,$U116,0)))</f>
        <v>0</v>
      </c>
      <c r="AC116" s="15" t="n">
        <f aca="false">MAX(0,B116+H116-W116)</f>
        <v>0</v>
      </c>
      <c r="AD116" s="15" t="n">
        <f aca="false">MAX(0,C116+I116-X116)</f>
        <v>0</v>
      </c>
      <c r="AE116" s="15" t="n">
        <f aca="false">MAX(0,D116+J116-Y116)</f>
        <v>0</v>
      </c>
      <c r="AF116" s="15" t="n">
        <f aca="false">MAX(0,E116+K116-Z116)</f>
        <v>0</v>
      </c>
      <c r="AG116" s="15" t="n">
        <f aca="false">MAX(0,F116+L116-AA116)</f>
        <v>0</v>
      </c>
      <c r="AH116" s="15" t="n">
        <f aca="false">MAX(0,G116+M116-AB116)</f>
        <v>0</v>
      </c>
      <c r="AI116" s="15" t="n">
        <f aca="false">SUM(H116:M116)</f>
        <v>0</v>
      </c>
      <c r="AJ116" s="15" t="n">
        <f aca="false">SUM(AC116:AH116)</f>
        <v>0</v>
      </c>
    </row>
    <row r="117" customFormat="false" ht="15" hidden="false" customHeight="false" outlineLevel="0" collapsed="false">
      <c r="A117" s="0" t="n">
        <v>113</v>
      </c>
      <c r="B117" s="15" t="n">
        <f aca="false">AC116</f>
        <v>0</v>
      </c>
      <c r="C117" s="15" t="n">
        <f aca="false">AD116</f>
        <v>0</v>
      </c>
      <c r="D117" s="15" t="n">
        <f aca="false">AE116</f>
        <v>0</v>
      </c>
      <c r="E117" s="15" t="n">
        <f aca="false">AF116</f>
        <v>0</v>
      </c>
      <c r="F117" s="15" t="n">
        <f aca="false">AG116</f>
        <v>0</v>
      </c>
      <c r="G117" s="15" t="n">
        <f aca="false">AH116</f>
        <v>0</v>
      </c>
      <c r="H117" s="15" t="n">
        <f aca="false">B117*N(Debts!C7)/12</f>
        <v>0</v>
      </c>
      <c r="I117" s="15" t="n">
        <f aca="false">C117*N(Debts!C8)/12</f>
        <v>0</v>
      </c>
      <c r="J117" s="15" t="n">
        <f aca="false">D117*N(Debts!C9)/12</f>
        <v>0</v>
      </c>
      <c r="K117" s="15" t="n">
        <f aca="false">E117*N(Debts!C10)/12</f>
        <v>0</v>
      </c>
      <c r="L117" s="15" t="n">
        <f aca="false">F117*N(Debts!C11)/12</f>
        <v>0</v>
      </c>
      <c r="M117" s="15" t="n">
        <f aca="false">G117*N(Debts!C12)/12</f>
        <v>0</v>
      </c>
      <c r="N117" s="15" t="n">
        <f aca="false">MIN(B117+H117,N(Debts!D7))</f>
        <v>0</v>
      </c>
      <c r="O117" s="15" t="n">
        <f aca="false">MIN(C117+I117,N(Debts!D8))</f>
        <v>0</v>
      </c>
      <c r="P117" s="15" t="n">
        <f aca="false">MIN(D117+J117,N(Debts!D9))</f>
        <v>0</v>
      </c>
      <c r="Q117" s="15" t="n">
        <f aca="false">MIN(E117+K117,N(Debts!D10))</f>
        <v>0</v>
      </c>
      <c r="R117" s="15" t="n">
        <f aca="false">MIN(F117+L117,N(Debts!D11))</f>
        <v>0</v>
      </c>
      <c r="S117" s="15" t="n">
        <f aca="false">MIN(G117+M117,N(Debts!D12))</f>
        <v>0</v>
      </c>
      <c r="T117" s="15" t="n">
        <f aca="false">Debts!$B$14</f>
        <v>286</v>
      </c>
      <c r="U117" s="15" t="n">
        <f aca="false">MAX(0,T117-SUM(N117:S117))</f>
        <v>286</v>
      </c>
      <c r="V117" s="16" t="n">
        <f aca="false">_xlfn.MINIFS($B$3:$G$3,B117:G117,"&gt;0.005")</f>
        <v>0</v>
      </c>
      <c r="W117" s="15" t="n">
        <f aca="false">IF(B117&lt;=0.005,0,MIN(B117+H117,N117+IF(B$3=$V117,$U117,0)))</f>
        <v>0</v>
      </c>
      <c r="X117" s="15" t="n">
        <f aca="false">IF(C117&lt;=0.005,0,MIN(C117+I117,O117+IF(C$3=$V117,$U117,0)))</f>
        <v>0</v>
      </c>
      <c r="Y117" s="15" t="n">
        <f aca="false">IF(D117&lt;=0.005,0,MIN(D117+J117,P117+IF(D$3=$V117,$U117,0)))</f>
        <v>0</v>
      </c>
      <c r="Z117" s="15" t="n">
        <f aca="false">IF(E117&lt;=0.005,0,MIN(E117+K117,Q117+IF(E$3=$V117,$U117,0)))</f>
        <v>0</v>
      </c>
      <c r="AA117" s="15" t="n">
        <f aca="false">IF(F117&lt;=0.005,0,MIN(F117+L117,R117+IF(F$3=$V117,$U117,0)))</f>
        <v>0</v>
      </c>
      <c r="AB117" s="15" t="n">
        <f aca="false">IF(G117&lt;=0.005,0,MIN(G117+M117,S117+IF(G$3=$V117,$U117,0)))</f>
        <v>0</v>
      </c>
      <c r="AC117" s="15" t="n">
        <f aca="false">MAX(0,B117+H117-W117)</f>
        <v>0</v>
      </c>
      <c r="AD117" s="15" t="n">
        <f aca="false">MAX(0,C117+I117-X117)</f>
        <v>0</v>
      </c>
      <c r="AE117" s="15" t="n">
        <f aca="false">MAX(0,D117+J117-Y117)</f>
        <v>0</v>
      </c>
      <c r="AF117" s="15" t="n">
        <f aca="false">MAX(0,E117+K117-Z117)</f>
        <v>0</v>
      </c>
      <c r="AG117" s="15" t="n">
        <f aca="false">MAX(0,F117+L117-AA117)</f>
        <v>0</v>
      </c>
      <c r="AH117" s="15" t="n">
        <f aca="false">MAX(0,G117+M117-AB117)</f>
        <v>0</v>
      </c>
      <c r="AI117" s="15" t="n">
        <f aca="false">SUM(H117:M117)</f>
        <v>0</v>
      </c>
      <c r="AJ117" s="15" t="n">
        <f aca="false">SUM(AC117:AH117)</f>
        <v>0</v>
      </c>
    </row>
    <row r="118" customFormat="false" ht="15" hidden="false" customHeight="false" outlineLevel="0" collapsed="false">
      <c r="A118" s="0" t="n">
        <v>114</v>
      </c>
      <c r="B118" s="15" t="n">
        <f aca="false">AC117</f>
        <v>0</v>
      </c>
      <c r="C118" s="15" t="n">
        <f aca="false">AD117</f>
        <v>0</v>
      </c>
      <c r="D118" s="15" t="n">
        <f aca="false">AE117</f>
        <v>0</v>
      </c>
      <c r="E118" s="15" t="n">
        <f aca="false">AF117</f>
        <v>0</v>
      </c>
      <c r="F118" s="15" t="n">
        <f aca="false">AG117</f>
        <v>0</v>
      </c>
      <c r="G118" s="15" t="n">
        <f aca="false">AH117</f>
        <v>0</v>
      </c>
      <c r="H118" s="15" t="n">
        <f aca="false">B118*N(Debts!C7)/12</f>
        <v>0</v>
      </c>
      <c r="I118" s="15" t="n">
        <f aca="false">C118*N(Debts!C8)/12</f>
        <v>0</v>
      </c>
      <c r="J118" s="15" t="n">
        <f aca="false">D118*N(Debts!C9)/12</f>
        <v>0</v>
      </c>
      <c r="K118" s="15" t="n">
        <f aca="false">E118*N(Debts!C10)/12</f>
        <v>0</v>
      </c>
      <c r="L118" s="15" t="n">
        <f aca="false">F118*N(Debts!C11)/12</f>
        <v>0</v>
      </c>
      <c r="M118" s="15" t="n">
        <f aca="false">G118*N(Debts!C12)/12</f>
        <v>0</v>
      </c>
      <c r="N118" s="15" t="n">
        <f aca="false">MIN(B118+H118,N(Debts!D7))</f>
        <v>0</v>
      </c>
      <c r="O118" s="15" t="n">
        <f aca="false">MIN(C118+I118,N(Debts!D8))</f>
        <v>0</v>
      </c>
      <c r="P118" s="15" t="n">
        <f aca="false">MIN(D118+J118,N(Debts!D9))</f>
        <v>0</v>
      </c>
      <c r="Q118" s="15" t="n">
        <f aca="false">MIN(E118+K118,N(Debts!D10))</f>
        <v>0</v>
      </c>
      <c r="R118" s="15" t="n">
        <f aca="false">MIN(F118+L118,N(Debts!D11))</f>
        <v>0</v>
      </c>
      <c r="S118" s="15" t="n">
        <f aca="false">MIN(G118+M118,N(Debts!D12))</f>
        <v>0</v>
      </c>
      <c r="T118" s="15" t="n">
        <f aca="false">Debts!$B$14</f>
        <v>286</v>
      </c>
      <c r="U118" s="15" t="n">
        <f aca="false">MAX(0,T118-SUM(N118:S118))</f>
        <v>286</v>
      </c>
      <c r="V118" s="16" t="n">
        <f aca="false">_xlfn.MINIFS($B$3:$G$3,B118:G118,"&gt;0.005")</f>
        <v>0</v>
      </c>
      <c r="W118" s="15" t="n">
        <f aca="false">IF(B118&lt;=0.005,0,MIN(B118+H118,N118+IF(B$3=$V118,$U118,0)))</f>
        <v>0</v>
      </c>
      <c r="X118" s="15" t="n">
        <f aca="false">IF(C118&lt;=0.005,0,MIN(C118+I118,O118+IF(C$3=$V118,$U118,0)))</f>
        <v>0</v>
      </c>
      <c r="Y118" s="15" t="n">
        <f aca="false">IF(D118&lt;=0.005,0,MIN(D118+J118,P118+IF(D$3=$V118,$U118,0)))</f>
        <v>0</v>
      </c>
      <c r="Z118" s="15" t="n">
        <f aca="false">IF(E118&lt;=0.005,0,MIN(E118+K118,Q118+IF(E$3=$V118,$U118,0)))</f>
        <v>0</v>
      </c>
      <c r="AA118" s="15" t="n">
        <f aca="false">IF(F118&lt;=0.005,0,MIN(F118+L118,R118+IF(F$3=$V118,$U118,0)))</f>
        <v>0</v>
      </c>
      <c r="AB118" s="15" t="n">
        <f aca="false">IF(G118&lt;=0.005,0,MIN(G118+M118,S118+IF(G$3=$V118,$U118,0)))</f>
        <v>0</v>
      </c>
      <c r="AC118" s="15" t="n">
        <f aca="false">MAX(0,B118+H118-W118)</f>
        <v>0</v>
      </c>
      <c r="AD118" s="15" t="n">
        <f aca="false">MAX(0,C118+I118-X118)</f>
        <v>0</v>
      </c>
      <c r="AE118" s="15" t="n">
        <f aca="false">MAX(0,D118+J118-Y118)</f>
        <v>0</v>
      </c>
      <c r="AF118" s="15" t="n">
        <f aca="false">MAX(0,E118+K118-Z118)</f>
        <v>0</v>
      </c>
      <c r="AG118" s="15" t="n">
        <f aca="false">MAX(0,F118+L118-AA118)</f>
        <v>0</v>
      </c>
      <c r="AH118" s="15" t="n">
        <f aca="false">MAX(0,G118+M118-AB118)</f>
        <v>0</v>
      </c>
      <c r="AI118" s="15" t="n">
        <f aca="false">SUM(H118:M118)</f>
        <v>0</v>
      </c>
      <c r="AJ118" s="15" t="n">
        <f aca="false">SUM(AC118:AH118)</f>
        <v>0</v>
      </c>
    </row>
    <row r="119" customFormat="false" ht="15" hidden="false" customHeight="false" outlineLevel="0" collapsed="false">
      <c r="A119" s="0" t="n">
        <v>115</v>
      </c>
      <c r="B119" s="15" t="n">
        <f aca="false">AC118</f>
        <v>0</v>
      </c>
      <c r="C119" s="15" t="n">
        <f aca="false">AD118</f>
        <v>0</v>
      </c>
      <c r="D119" s="15" t="n">
        <f aca="false">AE118</f>
        <v>0</v>
      </c>
      <c r="E119" s="15" t="n">
        <f aca="false">AF118</f>
        <v>0</v>
      </c>
      <c r="F119" s="15" t="n">
        <f aca="false">AG118</f>
        <v>0</v>
      </c>
      <c r="G119" s="15" t="n">
        <f aca="false">AH118</f>
        <v>0</v>
      </c>
      <c r="H119" s="15" t="n">
        <f aca="false">B119*N(Debts!C7)/12</f>
        <v>0</v>
      </c>
      <c r="I119" s="15" t="n">
        <f aca="false">C119*N(Debts!C8)/12</f>
        <v>0</v>
      </c>
      <c r="J119" s="15" t="n">
        <f aca="false">D119*N(Debts!C9)/12</f>
        <v>0</v>
      </c>
      <c r="K119" s="15" t="n">
        <f aca="false">E119*N(Debts!C10)/12</f>
        <v>0</v>
      </c>
      <c r="L119" s="15" t="n">
        <f aca="false">F119*N(Debts!C11)/12</f>
        <v>0</v>
      </c>
      <c r="M119" s="15" t="n">
        <f aca="false">G119*N(Debts!C12)/12</f>
        <v>0</v>
      </c>
      <c r="N119" s="15" t="n">
        <f aca="false">MIN(B119+H119,N(Debts!D7))</f>
        <v>0</v>
      </c>
      <c r="O119" s="15" t="n">
        <f aca="false">MIN(C119+I119,N(Debts!D8))</f>
        <v>0</v>
      </c>
      <c r="P119" s="15" t="n">
        <f aca="false">MIN(D119+J119,N(Debts!D9))</f>
        <v>0</v>
      </c>
      <c r="Q119" s="15" t="n">
        <f aca="false">MIN(E119+K119,N(Debts!D10))</f>
        <v>0</v>
      </c>
      <c r="R119" s="15" t="n">
        <f aca="false">MIN(F119+L119,N(Debts!D11))</f>
        <v>0</v>
      </c>
      <c r="S119" s="15" t="n">
        <f aca="false">MIN(G119+M119,N(Debts!D12))</f>
        <v>0</v>
      </c>
      <c r="T119" s="15" t="n">
        <f aca="false">Debts!$B$14</f>
        <v>286</v>
      </c>
      <c r="U119" s="15" t="n">
        <f aca="false">MAX(0,T119-SUM(N119:S119))</f>
        <v>286</v>
      </c>
      <c r="V119" s="16" t="n">
        <f aca="false">_xlfn.MINIFS($B$3:$G$3,B119:G119,"&gt;0.005")</f>
        <v>0</v>
      </c>
      <c r="W119" s="15" t="n">
        <f aca="false">IF(B119&lt;=0.005,0,MIN(B119+H119,N119+IF(B$3=$V119,$U119,0)))</f>
        <v>0</v>
      </c>
      <c r="X119" s="15" t="n">
        <f aca="false">IF(C119&lt;=0.005,0,MIN(C119+I119,O119+IF(C$3=$V119,$U119,0)))</f>
        <v>0</v>
      </c>
      <c r="Y119" s="15" t="n">
        <f aca="false">IF(D119&lt;=0.005,0,MIN(D119+J119,P119+IF(D$3=$V119,$U119,0)))</f>
        <v>0</v>
      </c>
      <c r="Z119" s="15" t="n">
        <f aca="false">IF(E119&lt;=0.005,0,MIN(E119+K119,Q119+IF(E$3=$V119,$U119,0)))</f>
        <v>0</v>
      </c>
      <c r="AA119" s="15" t="n">
        <f aca="false">IF(F119&lt;=0.005,0,MIN(F119+L119,R119+IF(F$3=$V119,$U119,0)))</f>
        <v>0</v>
      </c>
      <c r="AB119" s="15" t="n">
        <f aca="false">IF(G119&lt;=0.005,0,MIN(G119+M119,S119+IF(G$3=$V119,$U119,0)))</f>
        <v>0</v>
      </c>
      <c r="AC119" s="15" t="n">
        <f aca="false">MAX(0,B119+H119-W119)</f>
        <v>0</v>
      </c>
      <c r="AD119" s="15" t="n">
        <f aca="false">MAX(0,C119+I119-X119)</f>
        <v>0</v>
      </c>
      <c r="AE119" s="15" t="n">
        <f aca="false">MAX(0,D119+J119-Y119)</f>
        <v>0</v>
      </c>
      <c r="AF119" s="15" t="n">
        <f aca="false">MAX(0,E119+K119-Z119)</f>
        <v>0</v>
      </c>
      <c r="AG119" s="15" t="n">
        <f aca="false">MAX(0,F119+L119-AA119)</f>
        <v>0</v>
      </c>
      <c r="AH119" s="15" t="n">
        <f aca="false">MAX(0,G119+M119-AB119)</f>
        <v>0</v>
      </c>
      <c r="AI119" s="15" t="n">
        <f aca="false">SUM(H119:M119)</f>
        <v>0</v>
      </c>
      <c r="AJ119" s="15" t="n">
        <f aca="false">SUM(AC119:AH119)</f>
        <v>0</v>
      </c>
    </row>
    <row r="120" customFormat="false" ht="15" hidden="false" customHeight="false" outlineLevel="0" collapsed="false">
      <c r="A120" s="0" t="n">
        <v>116</v>
      </c>
      <c r="B120" s="15" t="n">
        <f aca="false">AC119</f>
        <v>0</v>
      </c>
      <c r="C120" s="15" t="n">
        <f aca="false">AD119</f>
        <v>0</v>
      </c>
      <c r="D120" s="15" t="n">
        <f aca="false">AE119</f>
        <v>0</v>
      </c>
      <c r="E120" s="15" t="n">
        <f aca="false">AF119</f>
        <v>0</v>
      </c>
      <c r="F120" s="15" t="n">
        <f aca="false">AG119</f>
        <v>0</v>
      </c>
      <c r="G120" s="15" t="n">
        <f aca="false">AH119</f>
        <v>0</v>
      </c>
      <c r="H120" s="15" t="n">
        <f aca="false">B120*N(Debts!C7)/12</f>
        <v>0</v>
      </c>
      <c r="I120" s="15" t="n">
        <f aca="false">C120*N(Debts!C8)/12</f>
        <v>0</v>
      </c>
      <c r="J120" s="15" t="n">
        <f aca="false">D120*N(Debts!C9)/12</f>
        <v>0</v>
      </c>
      <c r="K120" s="15" t="n">
        <f aca="false">E120*N(Debts!C10)/12</f>
        <v>0</v>
      </c>
      <c r="L120" s="15" t="n">
        <f aca="false">F120*N(Debts!C11)/12</f>
        <v>0</v>
      </c>
      <c r="M120" s="15" t="n">
        <f aca="false">G120*N(Debts!C12)/12</f>
        <v>0</v>
      </c>
      <c r="N120" s="15" t="n">
        <f aca="false">MIN(B120+H120,N(Debts!D7))</f>
        <v>0</v>
      </c>
      <c r="O120" s="15" t="n">
        <f aca="false">MIN(C120+I120,N(Debts!D8))</f>
        <v>0</v>
      </c>
      <c r="P120" s="15" t="n">
        <f aca="false">MIN(D120+J120,N(Debts!D9))</f>
        <v>0</v>
      </c>
      <c r="Q120" s="15" t="n">
        <f aca="false">MIN(E120+K120,N(Debts!D10))</f>
        <v>0</v>
      </c>
      <c r="R120" s="15" t="n">
        <f aca="false">MIN(F120+L120,N(Debts!D11))</f>
        <v>0</v>
      </c>
      <c r="S120" s="15" t="n">
        <f aca="false">MIN(G120+M120,N(Debts!D12))</f>
        <v>0</v>
      </c>
      <c r="T120" s="15" t="n">
        <f aca="false">Debts!$B$14</f>
        <v>286</v>
      </c>
      <c r="U120" s="15" t="n">
        <f aca="false">MAX(0,T120-SUM(N120:S120))</f>
        <v>286</v>
      </c>
      <c r="V120" s="16" t="n">
        <f aca="false">_xlfn.MINIFS($B$3:$G$3,B120:G120,"&gt;0.005")</f>
        <v>0</v>
      </c>
      <c r="W120" s="15" t="n">
        <f aca="false">IF(B120&lt;=0.005,0,MIN(B120+H120,N120+IF(B$3=$V120,$U120,0)))</f>
        <v>0</v>
      </c>
      <c r="X120" s="15" t="n">
        <f aca="false">IF(C120&lt;=0.005,0,MIN(C120+I120,O120+IF(C$3=$V120,$U120,0)))</f>
        <v>0</v>
      </c>
      <c r="Y120" s="15" t="n">
        <f aca="false">IF(D120&lt;=0.005,0,MIN(D120+J120,P120+IF(D$3=$V120,$U120,0)))</f>
        <v>0</v>
      </c>
      <c r="Z120" s="15" t="n">
        <f aca="false">IF(E120&lt;=0.005,0,MIN(E120+K120,Q120+IF(E$3=$V120,$U120,0)))</f>
        <v>0</v>
      </c>
      <c r="AA120" s="15" t="n">
        <f aca="false">IF(F120&lt;=0.005,0,MIN(F120+L120,R120+IF(F$3=$V120,$U120,0)))</f>
        <v>0</v>
      </c>
      <c r="AB120" s="15" t="n">
        <f aca="false">IF(G120&lt;=0.005,0,MIN(G120+M120,S120+IF(G$3=$V120,$U120,0)))</f>
        <v>0</v>
      </c>
      <c r="AC120" s="15" t="n">
        <f aca="false">MAX(0,B120+H120-W120)</f>
        <v>0</v>
      </c>
      <c r="AD120" s="15" t="n">
        <f aca="false">MAX(0,C120+I120-X120)</f>
        <v>0</v>
      </c>
      <c r="AE120" s="15" t="n">
        <f aca="false">MAX(0,D120+J120-Y120)</f>
        <v>0</v>
      </c>
      <c r="AF120" s="15" t="n">
        <f aca="false">MAX(0,E120+K120-Z120)</f>
        <v>0</v>
      </c>
      <c r="AG120" s="15" t="n">
        <f aca="false">MAX(0,F120+L120-AA120)</f>
        <v>0</v>
      </c>
      <c r="AH120" s="15" t="n">
        <f aca="false">MAX(0,G120+M120-AB120)</f>
        <v>0</v>
      </c>
      <c r="AI120" s="15" t="n">
        <f aca="false">SUM(H120:M120)</f>
        <v>0</v>
      </c>
      <c r="AJ120" s="15" t="n">
        <f aca="false">SUM(AC120:AH120)</f>
        <v>0</v>
      </c>
    </row>
    <row r="121" customFormat="false" ht="15" hidden="false" customHeight="false" outlineLevel="0" collapsed="false">
      <c r="A121" s="0" t="n">
        <v>117</v>
      </c>
      <c r="B121" s="15" t="n">
        <f aca="false">AC120</f>
        <v>0</v>
      </c>
      <c r="C121" s="15" t="n">
        <f aca="false">AD120</f>
        <v>0</v>
      </c>
      <c r="D121" s="15" t="n">
        <f aca="false">AE120</f>
        <v>0</v>
      </c>
      <c r="E121" s="15" t="n">
        <f aca="false">AF120</f>
        <v>0</v>
      </c>
      <c r="F121" s="15" t="n">
        <f aca="false">AG120</f>
        <v>0</v>
      </c>
      <c r="G121" s="15" t="n">
        <f aca="false">AH120</f>
        <v>0</v>
      </c>
      <c r="H121" s="15" t="n">
        <f aca="false">B121*N(Debts!C7)/12</f>
        <v>0</v>
      </c>
      <c r="I121" s="15" t="n">
        <f aca="false">C121*N(Debts!C8)/12</f>
        <v>0</v>
      </c>
      <c r="J121" s="15" t="n">
        <f aca="false">D121*N(Debts!C9)/12</f>
        <v>0</v>
      </c>
      <c r="K121" s="15" t="n">
        <f aca="false">E121*N(Debts!C10)/12</f>
        <v>0</v>
      </c>
      <c r="L121" s="15" t="n">
        <f aca="false">F121*N(Debts!C11)/12</f>
        <v>0</v>
      </c>
      <c r="M121" s="15" t="n">
        <f aca="false">G121*N(Debts!C12)/12</f>
        <v>0</v>
      </c>
      <c r="N121" s="15" t="n">
        <f aca="false">MIN(B121+H121,N(Debts!D7))</f>
        <v>0</v>
      </c>
      <c r="O121" s="15" t="n">
        <f aca="false">MIN(C121+I121,N(Debts!D8))</f>
        <v>0</v>
      </c>
      <c r="P121" s="15" t="n">
        <f aca="false">MIN(D121+J121,N(Debts!D9))</f>
        <v>0</v>
      </c>
      <c r="Q121" s="15" t="n">
        <f aca="false">MIN(E121+K121,N(Debts!D10))</f>
        <v>0</v>
      </c>
      <c r="R121" s="15" t="n">
        <f aca="false">MIN(F121+L121,N(Debts!D11))</f>
        <v>0</v>
      </c>
      <c r="S121" s="15" t="n">
        <f aca="false">MIN(G121+M121,N(Debts!D12))</f>
        <v>0</v>
      </c>
      <c r="T121" s="15" t="n">
        <f aca="false">Debts!$B$14</f>
        <v>286</v>
      </c>
      <c r="U121" s="15" t="n">
        <f aca="false">MAX(0,T121-SUM(N121:S121))</f>
        <v>286</v>
      </c>
      <c r="V121" s="16" t="n">
        <f aca="false">_xlfn.MINIFS($B$3:$G$3,B121:G121,"&gt;0.005")</f>
        <v>0</v>
      </c>
      <c r="W121" s="15" t="n">
        <f aca="false">IF(B121&lt;=0.005,0,MIN(B121+H121,N121+IF(B$3=$V121,$U121,0)))</f>
        <v>0</v>
      </c>
      <c r="X121" s="15" t="n">
        <f aca="false">IF(C121&lt;=0.005,0,MIN(C121+I121,O121+IF(C$3=$V121,$U121,0)))</f>
        <v>0</v>
      </c>
      <c r="Y121" s="15" t="n">
        <f aca="false">IF(D121&lt;=0.005,0,MIN(D121+J121,P121+IF(D$3=$V121,$U121,0)))</f>
        <v>0</v>
      </c>
      <c r="Z121" s="15" t="n">
        <f aca="false">IF(E121&lt;=0.005,0,MIN(E121+K121,Q121+IF(E$3=$V121,$U121,0)))</f>
        <v>0</v>
      </c>
      <c r="AA121" s="15" t="n">
        <f aca="false">IF(F121&lt;=0.005,0,MIN(F121+L121,R121+IF(F$3=$V121,$U121,0)))</f>
        <v>0</v>
      </c>
      <c r="AB121" s="15" t="n">
        <f aca="false">IF(G121&lt;=0.005,0,MIN(G121+M121,S121+IF(G$3=$V121,$U121,0)))</f>
        <v>0</v>
      </c>
      <c r="AC121" s="15" t="n">
        <f aca="false">MAX(0,B121+H121-W121)</f>
        <v>0</v>
      </c>
      <c r="AD121" s="15" t="n">
        <f aca="false">MAX(0,C121+I121-X121)</f>
        <v>0</v>
      </c>
      <c r="AE121" s="15" t="n">
        <f aca="false">MAX(0,D121+J121-Y121)</f>
        <v>0</v>
      </c>
      <c r="AF121" s="15" t="n">
        <f aca="false">MAX(0,E121+K121-Z121)</f>
        <v>0</v>
      </c>
      <c r="AG121" s="15" t="n">
        <f aca="false">MAX(0,F121+L121-AA121)</f>
        <v>0</v>
      </c>
      <c r="AH121" s="15" t="n">
        <f aca="false">MAX(0,G121+M121-AB121)</f>
        <v>0</v>
      </c>
      <c r="AI121" s="15" t="n">
        <f aca="false">SUM(H121:M121)</f>
        <v>0</v>
      </c>
      <c r="AJ121" s="15" t="n">
        <f aca="false">SUM(AC121:AH121)</f>
        <v>0</v>
      </c>
    </row>
    <row r="122" customFormat="false" ht="15" hidden="false" customHeight="false" outlineLevel="0" collapsed="false">
      <c r="A122" s="0" t="n">
        <v>118</v>
      </c>
      <c r="B122" s="15" t="n">
        <f aca="false">AC121</f>
        <v>0</v>
      </c>
      <c r="C122" s="15" t="n">
        <f aca="false">AD121</f>
        <v>0</v>
      </c>
      <c r="D122" s="15" t="n">
        <f aca="false">AE121</f>
        <v>0</v>
      </c>
      <c r="E122" s="15" t="n">
        <f aca="false">AF121</f>
        <v>0</v>
      </c>
      <c r="F122" s="15" t="n">
        <f aca="false">AG121</f>
        <v>0</v>
      </c>
      <c r="G122" s="15" t="n">
        <f aca="false">AH121</f>
        <v>0</v>
      </c>
      <c r="H122" s="15" t="n">
        <f aca="false">B122*N(Debts!C7)/12</f>
        <v>0</v>
      </c>
      <c r="I122" s="15" t="n">
        <f aca="false">C122*N(Debts!C8)/12</f>
        <v>0</v>
      </c>
      <c r="J122" s="15" t="n">
        <f aca="false">D122*N(Debts!C9)/12</f>
        <v>0</v>
      </c>
      <c r="K122" s="15" t="n">
        <f aca="false">E122*N(Debts!C10)/12</f>
        <v>0</v>
      </c>
      <c r="L122" s="15" t="n">
        <f aca="false">F122*N(Debts!C11)/12</f>
        <v>0</v>
      </c>
      <c r="M122" s="15" t="n">
        <f aca="false">G122*N(Debts!C12)/12</f>
        <v>0</v>
      </c>
      <c r="N122" s="15" t="n">
        <f aca="false">MIN(B122+H122,N(Debts!D7))</f>
        <v>0</v>
      </c>
      <c r="O122" s="15" t="n">
        <f aca="false">MIN(C122+I122,N(Debts!D8))</f>
        <v>0</v>
      </c>
      <c r="P122" s="15" t="n">
        <f aca="false">MIN(D122+J122,N(Debts!D9))</f>
        <v>0</v>
      </c>
      <c r="Q122" s="15" t="n">
        <f aca="false">MIN(E122+K122,N(Debts!D10))</f>
        <v>0</v>
      </c>
      <c r="R122" s="15" t="n">
        <f aca="false">MIN(F122+L122,N(Debts!D11))</f>
        <v>0</v>
      </c>
      <c r="S122" s="15" t="n">
        <f aca="false">MIN(G122+M122,N(Debts!D12))</f>
        <v>0</v>
      </c>
      <c r="T122" s="15" t="n">
        <f aca="false">Debts!$B$14</f>
        <v>286</v>
      </c>
      <c r="U122" s="15" t="n">
        <f aca="false">MAX(0,T122-SUM(N122:S122))</f>
        <v>286</v>
      </c>
      <c r="V122" s="16" t="n">
        <f aca="false">_xlfn.MINIFS($B$3:$G$3,B122:G122,"&gt;0.005")</f>
        <v>0</v>
      </c>
      <c r="W122" s="15" t="n">
        <f aca="false">IF(B122&lt;=0.005,0,MIN(B122+H122,N122+IF(B$3=$V122,$U122,0)))</f>
        <v>0</v>
      </c>
      <c r="X122" s="15" t="n">
        <f aca="false">IF(C122&lt;=0.005,0,MIN(C122+I122,O122+IF(C$3=$V122,$U122,0)))</f>
        <v>0</v>
      </c>
      <c r="Y122" s="15" t="n">
        <f aca="false">IF(D122&lt;=0.005,0,MIN(D122+J122,P122+IF(D$3=$V122,$U122,0)))</f>
        <v>0</v>
      </c>
      <c r="Z122" s="15" t="n">
        <f aca="false">IF(E122&lt;=0.005,0,MIN(E122+K122,Q122+IF(E$3=$V122,$U122,0)))</f>
        <v>0</v>
      </c>
      <c r="AA122" s="15" t="n">
        <f aca="false">IF(F122&lt;=0.005,0,MIN(F122+L122,R122+IF(F$3=$V122,$U122,0)))</f>
        <v>0</v>
      </c>
      <c r="AB122" s="15" t="n">
        <f aca="false">IF(G122&lt;=0.005,0,MIN(G122+M122,S122+IF(G$3=$V122,$U122,0)))</f>
        <v>0</v>
      </c>
      <c r="AC122" s="15" t="n">
        <f aca="false">MAX(0,B122+H122-W122)</f>
        <v>0</v>
      </c>
      <c r="AD122" s="15" t="n">
        <f aca="false">MAX(0,C122+I122-X122)</f>
        <v>0</v>
      </c>
      <c r="AE122" s="15" t="n">
        <f aca="false">MAX(0,D122+J122-Y122)</f>
        <v>0</v>
      </c>
      <c r="AF122" s="15" t="n">
        <f aca="false">MAX(0,E122+K122-Z122)</f>
        <v>0</v>
      </c>
      <c r="AG122" s="15" t="n">
        <f aca="false">MAX(0,F122+L122-AA122)</f>
        <v>0</v>
      </c>
      <c r="AH122" s="15" t="n">
        <f aca="false">MAX(0,G122+M122-AB122)</f>
        <v>0</v>
      </c>
      <c r="AI122" s="15" t="n">
        <f aca="false">SUM(H122:M122)</f>
        <v>0</v>
      </c>
      <c r="AJ122" s="15" t="n">
        <f aca="false">SUM(AC122:AH122)</f>
        <v>0</v>
      </c>
    </row>
    <row r="123" customFormat="false" ht="15" hidden="false" customHeight="false" outlineLevel="0" collapsed="false">
      <c r="A123" s="0" t="n">
        <v>119</v>
      </c>
      <c r="B123" s="15" t="n">
        <f aca="false">AC122</f>
        <v>0</v>
      </c>
      <c r="C123" s="15" t="n">
        <f aca="false">AD122</f>
        <v>0</v>
      </c>
      <c r="D123" s="15" t="n">
        <f aca="false">AE122</f>
        <v>0</v>
      </c>
      <c r="E123" s="15" t="n">
        <f aca="false">AF122</f>
        <v>0</v>
      </c>
      <c r="F123" s="15" t="n">
        <f aca="false">AG122</f>
        <v>0</v>
      </c>
      <c r="G123" s="15" t="n">
        <f aca="false">AH122</f>
        <v>0</v>
      </c>
      <c r="H123" s="15" t="n">
        <f aca="false">B123*N(Debts!C7)/12</f>
        <v>0</v>
      </c>
      <c r="I123" s="15" t="n">
        <f aca="false">C123*N(Debts!C8)/12</f>
        <v>0</v>
      </c>
      <c r="J123" s="15" t="n">
        <f aca="false">D123*N(Debts!C9)/12</f>
        <v>0</v>
      </c>
      <c r="K123" s="15" t="n">
        <f aca="false">E123*N(Debts!C10)/12</f>
        <v>0</v>
      </c>
      <c r="L123" s="15" t="n">
        <f aca="false">F123*N(Debts!C11)/12</f>
        <v>0</v>
      </c>
      <c r="M123" s="15" t="n">
        <f aca="false">G123*N(Debts!C12)/12</f>
        <v>0</v>
      </c>
      <c r="N123" s="15" t="n">
        <f aca="false">MIN(B123+H123,N(Debts!D7))</f>
        <v>0</v>
      </c>
      <c r="O123" s="15" t="n">
        <f aca="false">MIN(C123+I123,N(Debts!D8))</f>
        <v>0</v>
      </c>
      <c r="P123" s="15" t="n">
        <f aca="false">MIN(D123+J123,N(Debts!D9))</f>
        <v>0</v>
      </c>
      <c r="Q123" s="15" t="n">
        <f aca="false">MIN(E123+K123,N(Debts!D10))</f>
        <v>0</v>
      </c>
      <c r="R123" s="15" t="n">
        <f aca="false">MIN(F123+L123,N(Debts!D11))</f>
        <v>0</v>
      </c>
      <c r="S123" s="15" t="n">
        <f aca="false">MIN(G123+M123,N(Debts!D12))</f>
        <v>0</v>
      </c>
      <c r="T123" s="15" t="n">
        <f aca="false">Debts!$B$14</f>
        <v>286</v>
      </c>
      <c r="U123" s="15" t="n">
        <f aca="false">MAX(0,T123-SUM(N123:S123))</f>
        <v>286</v>
      </c>
      <c r="V123" s="16" t="n">
        <f aca="false">_xlfn.MINIFS($B$3:$G$3,B123:G123,"&gt;0.005")</f>
        <v>0</v>
      </c>
      <c r="W123" s="15" t="n">
        <f aca="false">IF(B123&lt;=0.005,0,MIN(B123+H123,N123+IF(B$3=$V123,$U123,0)))</f>
        <v>0</v>
      </c>
      <c r="X123" s="15" t="n">
        <f aca="false">IF(C123&lt;=0.005,0,MIN(C123+I123,O123+IF(C$3=$V123,$U123,0)))</f>
        <v>0</v>
      </c>
      <c r="Y123" s="15" t="n">
        <f aca="false">IF(D123&lt;=0.005,0,MIN(D123+J123,P123+IF(D$3=$V123,$U123,0)))</f>
        <v>0</v>
      </c>
      <c r="Z123" s="15" t="n">
        <f aca="false">IF(E123&lt;=0.005,0,MIN(E123+K123,Q123+IF(E$3=$V123,$U123,0)))</f>
        <v>0</v>
      </c>
      <c r="AA123" s="15" t="n">
        <f aca="false">IF(F123&lt;=0.005,0,MIN(F123+L123,R123+IF(F$3=$V123,$U123,0)))</f>
        <v>0</v>
      </c>
      <c r="AB123" s="15" t="n">
        <f aca="false">IF(G123&lt;=0.005,0,MIN(G123+M123,S123+IF(G$3=$V123,$U123,0)))</f>
        <v>0</v>
      </c>
      <c r="AC123" s="15" t="n">
        <f aca="false">MAX(0,B123+H123-W123)</f>
        <v>0</v>
      </c>
      <c r="AD123" s="15" t="n">
        <f aca="false">MAX(0,C123+I123-X123)</f>
        <v>0</v>
      </c>
      <c r="AE123" s="15" t="n">
        <f aca="false">MAX(0,D123+J123-Y123)</f>
        <v>0</v>
      </c>
      <c r="AF123" s="15" t="n">
        <f aca="false">MAX(0,E123+K123-Z123)</f>
        <v>0</v>
      </c>
      <c r="AG123" s="15" t="n">
        <f aca="false">MAX(0,F123+L123-AA123)</f>
        <v>0</v>
      </c>
      <c r="AH123" s="15" t="n">
        <f aca="false">MAX(0,G123+M123-AB123)</f>
        <v>0</v>
      </c>
      <c r="AI123" s="15" t="n">
        <f aca="false">SUM(H123:M123)</f>
        <v>0</v>
      </c>
      <c r="AJ123" s="15" t="n">
        <f aca="false">SUM(AC123:AH123)</f>
        <v>0</v>
      </c>
    </row>
    <row r="124" customFormat="false" ht="15" hidden="false" customHeight="false" outlineLevel="0" collapsed="false">
      <c r="A124" s="0" t="n">
        <v>120</v>
      </c>
      <c r="B124" s="15" t="n">
        <f aca="false">AC123</f>
        <v>0</v>
      </c>
      <c r="C124" s="15" t="n">
        <f aca="false">AD123</f>
        <v>0</v>
      </c>
      <c r="D124" s="15" t="n">
        <f aca="false">AE123</f>
        <v>0</v>
      </c>
      <c r="E124" s="15" t="n">
        <f aca="false">AF123</f>
        <v>0</v>
      </c>
      <c r="F124" s="15" t="n">
        <f aca="false">AG123</f>
        <v>0</v>
      </c>
      <c r="G124" s="15" t="n">
        <f aca="false">AH123</f>
        <v>0</v>
      </c>
      <c r="H124" s="15" t="n">
        <f aca="false">B124*N(Debts!C7)/12</f>
        <v>0</v>
      </c>
      <c r="I124" s="15" t="n">
        <f aca="false">C124*N(Debts!C8)/12</f>
        <v>0</v>
      </c>
      <c r="J124" s="15" t="n">
        <f aca="false">D124*N(Debts!C9)/12</f>
        <v>0</v>
      </c>
      <c r="K124" s="15" t="n">
        <f aca="false">E124*N(Debts!C10)/12</f>
        <v>0</v>
      </c>
      <c r="L124" s="15" t="n">
        <f aca="false">F124*N(Debts!C11)/12</f>
        <v>0</v>
      </c>
      <c r="M124" s="15" t="n">
        <f aca="false">G124*N(Debts!C12)/12</f>
        <v>0</v>
      </c>
      <c r="N124" s="15" t="n">
        <f aca="false">MIN(B124+H124,N(Debts!D7))</f>
        <v>0</v>
      </c>
      <c r="O124" s="15" t="n">
        <f aca="false">MIN(C124+I124,N(Debts!D8))</f>
        <v>0</v>
      </c>
      <c r="P124" s="15" t="n">
        <f aca="false">MIN(D124+J124,N(Debts!D9))</f>
        <v>0</v>
      </c>
      <c r="Q124" s="15" t="n">
        <f aca="false">MIN(E124+K124,N(Debts!D10))</f>
        <v>0</v>
      </c>
      <c r="R124" s="15" t="n">
        <f aca="false">MIN(F124+L124,N(Debts!D11))</f>
        <v>0</v>
      </c>
      <c r="S124" s="15" t="n">
        <f aca="false">MIN(G124+M124,N(Debts!D12))</f>
        <v>0</v>
      </c>
      <c r="T124" s="15" t="n">
        <f aca="false">Debts!$B$14</f>
        <v>286</v>
      </c>
      <c r="U124" s="15" t="n">
        <f aca="false">MAX(0,T124-SUM(N124:S124))</f>
        <v>286</v>
      </c>
      <c r="V124" s="16" t="n">
        <f aca="false">_xlfn.MINIFS($B$3:$G$3,B124:G124,"&gt;0.005")</f>
        <v>0</v>
      </c>
      <c r="W124" s="15" t="n">
        <f aca="false">IF(B124&lt;=0.005,0,MIN(B124+H124,N124+IF(B$3=$V124,$U124,0)))</f>
        <v>0</v>
      </c>
      <c r="X124" s="15" t="n">
        <f aca="false">IF(C124&lt;=0.005,0,MIN(C124+I124,O124+IF(C$3=$V124,$U124,0)))</f>
        <v>0</v>
      </c>
      <c r="Y124" s="15" t="n">
        <f aca="false">IF(D124&lt;=0.005,0,MIN(D124+J124,P124+IF(D$3=$V124,$U124,0)))</f>
        <v>0</v>
      </c>
      <c r="Z124" s="15" t="n">
        <f aca="false">IF(E124&lt;=0.005,0,MIN(E124+K124,Q124+IF(E$3=$V124,$U124,0)))</f>
        <v>0</v>
      </c>
      <c r="AA124" s="15" t="n">
        <f aca="false">IF(F124&lt;=0.005,0,MIN(F124+L124,R124+IF(F$3=$V124,$U124,0)))</f>
        <v>0</v>
      </c>
      <c r="AB124" s="15" t="n">
        <f aca="false">IF(G124&lt;=0.005,0,MIN(G124+M124,S124+IF(G$3=$V124,$U124,0)))</f>
        <v>0</v>
      </c>
      <c r="AC124" s="15" t="n">
        <f aca="false">MAX(0,B124+H124-W124)</f>
        <v>0</v>
      </c>
      <c r="AD124" s="15" t="n">
        <f aca="false">MAX(0,C124+I124-X124)</f>
        <v>0</v>
      </c>
      <c r="AE124" s="15" t="n">
        <f aca="false">MAX(0,D124+J124-Y124)</f>
        <v>0</v>
      </c>
      <c r="AF124" s="15" t="n">
        <f aca="false">MAX(0,E124+K124-Z124)</f>
        <v>0</v>
      </c>
      <c r="AG124" s="15" t="n">
        <f aca="false">MAX(0,F124+L124-AA124)</f>
        <v>0</v>
      </c>
      <c r="AH124" s="15" t="n">
        <f aca="false">MAX(0,G124+M124-AB124)</f>
        <v>0</v>
      </c>
      <c r="AI124" s="15" t="n">
        <f aca="false">SUM(H124:M124)</f>
        <v>0</v>
      </c>
      <c r="AJ124" s="15" t="n">
        <f aca="false">SUM(AC124:AH124)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2026-10-13T12:27:59Z</dcterms:created>
  <dc:creator>openpyxl</dc:creator>
  <dc:description/>
  <dc:language>en-US</dc:language>
  <cp:lastModifiedBy/>
  <dcterms:modified xsi:type="dcterms:W3CDTF">2026-10-13T12:27:59Z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