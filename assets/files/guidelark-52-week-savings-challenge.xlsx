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 here" sheetId="1" state="visible" r:id="rId3"/>
    <sheet name="Classic" sheetId="2" state="visible" r:id="rId4"/>
    <sheet name="Reverse" sheetId="3" state="visible" r:id="rId5"/>
    <sheet name="Flat" sheetId="4" state="visible" r:id="rId6"/>
    <sheet name="Half" sheetId="5" state="visible" r:id="rId7"/>
    <sheet name="Bing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<sst xmlns="http://schemas.openxmlformats.org/spreadsheetml/2006/main" count="78" uniqueCount="36">
  <si>
    <t xml:space="preserve">52-week savings challenge tracker</t>
  </si>
  <si>
    <t xml:space="preserve">How to use it</t>
  </si>
  <si>
    <t xml:space="preserve">1. Pick a version tab: Classic ($1 up to $52), Reverse ($52 down to $1), Flat ($26.50 a week), Half (50 cents up to $26) or Bingo (any order).</t>
  </si>
  <si>
    <t xml:space="preserve">2. Type the date of your first week at the top of the tab. The week dates fill in by themselves.</t>
  </si>
  <si>
    <t xml:space="preserve">3. Each week, move the amount into savings, then choose Yes in the Saved? column.</t>
  </si>
  <si>
    <t xml:space="preserve">4. The top of the tab shows what you have actually saved, how many weeks are done and what is left.</t>
  </si>
  <si>
    <t xml:space="preserve">5. Missed a week? Leave it blank and carry on. Catch up later, or not. Every saved week counts.</t>
  </si>
  <si>
    <t xml:space="preserve">Yellow cells are for you to type in. White cells calculate automatically, so leave them alone.</t>
  </si>
  <si>
    <t xml:space="preserve">The example numbers only show the format. Replace them with your own.</t>
  </si>
  <si>
    <t xml:space="preserve">Step-by-step guide: https://guidelark.com/blog/52-week-savings-challenge/</t>
  </si>
  <si>
    <t xml:space="preserve">Free to use and share. General information, not financial advice.</t>
  </si>
  <si>
    <t xml:space="preserve">52-week challenge: Classic</t>
  </si>
  <si>
    <t xml:space="preserve">Week 1 is $1, and each week adds $1, up to $52 in week 52.</t>
  </si>
  <si>
    <t xml:space="preserve">First week starts on</t>
  </si>
  <si>
    <t xml:space="preserve">Saved so far</t>
  </si>
  <si>
    <t xml:space="preserve">Weeks done</t>
  </si>
  <si>
    <t xml:space="preserve">Total if you finish</t>
  </si>
  <si>
    <t xml:space="preserve">Week</t>
  </si>
  <si>
    <t xml:space="preserve">Week of</t>
  </si>
  <si>
    <t xml:space="preserve">Amount to save</t>
  </si>
  <si>
    <t xml:space="preserve">Saved?</t>
  </si>
  <si>
    <t xml:space="preserve">Planned total by now</t>
  </si>
  <si>
    <t xml:space="preserve">Yes</t>
  </si>
  <si>
    <t xml:space="preserve">52-week challenge: Reverse</t>
  </si>
  <si>
    <t xml:space="preserve">Week 1 is $52, and each week is $1 less, down to $1 in week 52.</t>
  </si>
  <si>
    <t xml:space="preserve">52-week challenge: Flat</t>
  </si>
  <si>
    <t xml:space="preserve">The same $26.50 every week. Easiest to automate.</t>
  </si>
  <si>
    <t xml:space="preserve">52-week challenge: Half</t>
  </si>
  <si>
    <t xml:space="preserve">The classic ladder at half size: 50 cents up to $26.</t>
  </si>
  <si>
    <t xml:space="preserve">52-week challenge: Bingo</t>
  </si>
  <si>
    <t xml:space="preserve">Each week, pick any amount from 1 to 52 that fits your budget, and choose Yes next to it.</t>
  </si>
  <si>
    <t xml:space="preserve">Numbers crossed off</t>
  </si>
  <si>
    <t xml:space="preserve">Still to go</t>
  </si>
  <si>
    <t xml:space="preserve">Amount</t>
  </si>
  <si>
    <t xml:space="preserve">Done?</t>
  </si>
  <si>
    <t xml:space="preserve">Date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</si>
</sst>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\$#,##0.00;[RED]&quot;-$&quot;#,##0.00;\-"/>
    <numFmt numFmtId="167" formatCode="\$#,##0;[RED]&quot;-$&quot;#,##0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55607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4B8"/>
        <bgColor rgb="FFFFFF99"/>
      </patternFill>
    </fill>
    <fill>
      <patternFill patternType="solid">
        <fgColor rgb="FF14213D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6D4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BFE4C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D4C3"/>
      <rgbColor rgb="FF808080"/>
      <rgbColor rgb="FF9999FF"/>
      <rgbColor rgb="FF993366"/>
      <rgbColor rgb="FFFFF4B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FE4C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0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20"/>
  </cols>
  <sheetData>
    <row r="1" customFormat="false" ht="19.7" hidden="false" customHeight="false" outlineLevel="0" collapsed="false">
      <c r="A1" s="1" t="s">
        <v>11</v>
      </c>
    </row>
    <row r="2" customFormat="false" ht="15" hidden="false" customHeight="false" outlineLevel="0" collapsed="false">
      <c r="A2" s="4" t="s">
        <v>12</v>
      </c>
    </row>
    <row r="3" customFormat="false" ht="15" hidden="false" customHeight="false" outlineLevel="0" collapsed="false">
      <c r="A3" s="5" t="s">
        <v>13</v>
      </c>
      <c r="B3" s="6" t="n">
        <v>46328</v>
      </c>
    </row>
    <row r="4" customFormat="false" ht="15" hidden="false" customHeight="false" outlineLevel="0" collapsed="false">
      <c r="A4" s="5" t="s">
        <v>14</v>
      </c>
      <c r="B4" s="7" t="n">
        <f aca="false">SUMIF(D9:D60,"Yes",C9:C60)</f>
        <v>6</v>
      </c>
    </row>
    <row r="5" customFormat="false" ht="15" hidden="false" customHeight="false" outlineLevel="0" collapsed="false">
      <c r="A5" s="5" t="s">
        <v>15</v>
      </c>
      <c r="B5" s="5" t="str">
        <f aca="false">COUNTIF(D9:D60,"Yes")&amp;" of 52"</f>
        <v>3 of 52</v>
      </c>
    </row>
    <row r="6" customFormat="false" ht="15" hidden="false" customHeight="false" outlineLevel="0" collapsed="false">
      <c r="A6" s="5" t="s">
        <v>16</v>
      </c>
      <c r="B6" s="7" t="n">
        <f aca="false">SUM(C9:C60)</f>
        <v>1378</v>
      </c>
    </row>
    <row r="8" customFormat="false" ht="26.85" hidden="false" customHeight="false" outlineLevel="0" collapsed="false">
      <c r="A8" s="8" t="s">
        <v>17</v>
      </c>
      <c r="B8" s="8" t="s">
        <v>18</v>
      </c>
      <c r="C8" s="9" t="s">
        <v>19</v>
      </c>
      <c r="D8" s="8" t="s">
        <v>20</v>
      </c>
      <c r="E8" s="9" t="s">
        <v>21</v>
      </c>
    </row>
    <row r="9" customFormat="false" ht="15" hidden="false" customHeight="false" outlineLevel="0" collapsed="false">
      <c r="A9" s="10" t="n">
        <v>1</v>
      </c>
      <c r="B9" s="11" t="n">
        <f aca="false">$B$3+7*(A9-1)</f>
        <v>46328</v>
      </c>
      <c r="C9" s="12" t="n">
        <v>1</v>
      </c>
      <c r="D9" s="13" t="s">
        <v>22</v>
      </c>
      <c r="E9" s="12" t="n">
        <f aca="false">SUM($C$9:C9)</f>
        <v>1</v>
      </c>
    </row>
    <row r="10" customFormat="false" ht="15" hidden="false" customHeight="false" outlineLevel="0" collapsed="false">
      <c r="A10" s="10" t="n">
        <v>2</v>
      </c>
      <c r="B10" s="11" t="n">
        <f aca="false">$B$3+7*(A10-1)</f>
        <v>46335</v>
      </c>
      <c r="C10" s="12" t="n">
        <v>2</v>
      </c>
      <c r="D10" s="13" t="s">
        <v>22</v>
      </c>
      <c r="E10" s="12" t="n">
        <f aca="false">SUM($C$9:C10)</f>
        <v>3</v>
      </c>
    </row>
    <row r="11" customFormat="false" ht="15" hidden="false" customHeight="false" outlineLevel="0" collapsed="false">
      <c r="A11" s="10" t="n">
        <v>3</v>
      </c>
      <c r="B11" s="11" t="n">
        <f aca="false">$B$3+7*(A11-1)</f>
        <v>46342</v>
      </c>
      <c r="C11" s="12" t="n">
        <v>3</v>
      </c>
      <c r="D11" s="13" t="s">
        <v>22</v>
      </c>
      <c r="E11" s="12" t="n">
        <f aca="false">SUM($C$9:C11)</f>
        <v>6</v>
      </c>
    </row>
    <row r="12" customFormat="false" ht="15" hidden="false" customHeight="false" outlineLevel="0" collapsed="false">
      <c r="A12" s="10" t="n">
        <v>4</v>
      </c>
      <c r="B12" s="11" t="n">
        <f aca="false">$B$3+7*(A12-1)</f>
        <v>46349</v>
      </c>
      <c r="C12" s="12" t="n">
        <v>4</v>
      </c>
      <c r="D12" s="13"/>
      <c r="E12" s="12" t="n">
        <f aca="false">SUM($C$9:C12)</f>
        <v>10</v>
      </c>
    </row>
    <row r="13" customFormat="false" ht="15" hidden="false" customHeight="false" outlineLevel="0" collapsed="false">
      <c r="A13" s="10" t="n">
        <v>5</v>
      </c>
      <c r="B13" s="11" t="n">
        <f aca="false">$B$3+7*(A13-1)</f>
        <v>46356</v>
      </c>
      <c r="C13" s="12" t="n">
        <v>5</v>
      </c>
      <c r="D13" s="13"/>
      <c r="E13" s="12" t="n">
        <f aca="false">SUM($C$9:C13)</f>
        <v>15</v>
      </c>
    </row>
    <row r="14" customFormat="false" ht="15" hidden="false" customHeight="false" outlineLevel="0" collapsed="false">
      <c r="A14" s="10" t="n">
        <v>6</v>
      </c>
      <c r="B14" s="11" t="n">
        <f aca="false">$B$3+7*(A14-1)</f>
        <v>46363</v>
      </c>
      <c r="C14" s="12" t="n">
        <v>6</v>
      </c>
      <c r="D14" s="13"/>
      <c r="E14" s="12" t="n">
        <f aca="false">SUM($C$9:C14)</f>
        <v>21</v>
      </c>
    </row>
    <row r="15" customFormat="false" ht="15" hidden="false" customHeight="false" outlineLevel="0" collapsed="false">
      <c r="A15" s="10" t="n">
        <v>7</v>
      </c>
      <c r="B15" s="11" t="n">
        <f aca="false">$B$3+7*(A15-1)</f>
        <v>46370</v>
      </c>
      <c r="C15" s="12" t="n">
        <v>7</v>
      </c>
      <c r="D15" s="13"/>
      <c r="E15" s="12" t="n">
        <f aca="false">SUM($C$9:C15)</f>
        <v>28</v>
      </c>
    </row>
    <row r="16" customFormat="false" ht="15" hidden="false" customHeight="false" outlineLevel="0" collapsed="false">
      <c r="A16" s="10" t="n">
        <v>8</v>
      </c>
      <c r="B16" s="11" t="n">
        <f aca="false">$B$3+7*(A16-1)</f>
        <v>46377</v>
      </c>
      <c r="C16" s="12" t="n">
        <v>8</v>
      </c>
      <c r="D16" s="13"/>
      <c r="E16" s="12" t="n">
        <f aca="false">SUM($C$9:C16)</f>
        <v>36</v>
      </c>
    </row>
    <row r="17" customFormat="false" ht="15" hidden="false" customHeight="false" outlineLevel="0" collapsed="false">
      <c r="A17" s="10" t="n">
        <v>9</v>
      </c>
      <c r="B17" s="11" t="n">
        <f aca="false">$B$3+7*(A17-1)</f>
        <v>46384</v>
      </c>
      <c r="C17" s="12" t="n">
        <v>9</v>
      </c>
      <c r="D17" s="13"/>
      <c r="E17" s="12" t="n">
        <f aca="false">SUM($C$9:C17)</f>
        <v>45</v>
      </c>
    </row>
    <row r="18" customFormat="false" ht="15" hidden="false" customHeight="false" outlineLevel="0" collapsed="false">
      <c r="A18" s="10" t="n">
        <v>10</v>
      </c>
      <c r="B18" s="11" t="n">
        <f aca="false">$B$3+7*(A18-1)</f>
        <v>46391</v>
      </c>
      <c r="C18" s="12" t="n">
        <v>10</v>
      </c>
      <c r="D18" s="13"/>
      <c r="E18" s="12" t="n">
        <f aca="false">SUM($C$9:C18)</f>
        <v>55</v>
      </c>
    </row>
    <row r="19" customFormat="false" ht="15" hidden="false" customHeight="false" outlineLevel="0" collapsed="false">
      <c r="A19" s="10" t="n">
        <v>11</v>
      </c>
      <c r="B19" s="11" t="n">
        <f aca="false">$B$3+7*(A19-1)</f>
        <v>46398</v>
      </c>
      <c r="C19" s="12" t="n">
        <v>11</v>
      </c>
      <c r="D19" s="13"/>
      <c r="E19" s="12" t="n">
        <f aca="false">SUM($C$9:C19)</f>
        <v>66</v>
      </c>
    </row>
    <row r="20" customFormat="false" ht="15" hidden="false" customHeight="false" outlineLevel="0" collapsed="false">
      <c r="A20" s="10" t="n">
        <v>12</v>
      </c>
      <c r="B20" s="11" t="n">
        <f aca="false">$B$3+7*(A20-1)</f>
        <v>46405</v>
      </c>
      <c r="C20" s="12" t="n">
        <v>12</v>
      </c>
      <c r="D20" s="13"/>
      <c r="E20" s="12" t="n">
        <f aca="false">SUM($C$9:C20)</f>
        <v>78</v>
      </c>
    </row>
    <row r="21" customFormat="false" ht="15" hidden="false" customHeight="false" outlineLevel="0" collapsed="false">
      <c r="A21" s="10" t="n">
        <v>13</v>
      </c>
      <c r="B21" s="11" t="n">
        <f aca="false">$B$3+7*(A21-1)</f>
        <v>46412</v>
      </c>
      <c r="C21" s="12" t="n">
        <v>13</v>
      </c>
      <c r="D21" s="13"/>
      <c r="E21" s="12" t="n">
        <f aca="false">SUM($C$9:C21)</f>
        <v>91</v>
      </c>
    </row>
    <row r="22" customFormat="false" ht="15" hidden="false" customHeight="false" outlineLevel="0" collapsed="false">
      <c r="A22" s="10" t="n">
        <v>14</v>
      </c>
      <c r="B22" s="11" t="n">
        <f aca="false">$B$3+7*(A22-1)</f>
        <v>46419</v>
      </c>
      <c r="C22" s="12" t="n">
        <v>14</v>
      </c>
      <c r="D22" s="13"/>
      <c r="E22" s="12" t="n">
        <f aca="false">SUM($C$9:C22)</f>
        <v>105</v>
      </c>
    </row>
    <row r="23" customFormat="false" ht="15" hidden="false" customHeight="false" outlineLevel="0" collapsed="false">
      <c r="A23" s="10" t="n">
        <v>15</v>
      </c>
      <c r="B23" s="11" t="n">
        <f aca="false">$B$3+7*(A23-1)</f>
        <v>46426</v>
      </c>
      <c r="C23" s="12" t="n">
        <v>15</v>
      </c>
      <c r="D23" s="13"/>
      <c r="E23" s="12" t="n">
        <f aca="false">SUM($C$9:C23)</f>
        <v>120</v>
      </c>
    </row>
    <row r="24" customFormat="false" ht="15" hidden="false" customHeight="false" outlineLevel="0" collapsed="false">
      <c r="A24" s="10" t="n">
        <v>16</v>
      </c>
      <c r="B24" s="11" t="n">
        <f aca="false">$B$3+7*(A24-1)</f>
        <v>46433</v>
      </c>
      <c r="C24" s="12" t="n">
        <v>16</v>
      </c>
      <c r="D24" s="13"/>
      <c r="E24" s="12" t="n">
        <f aca="false">SUM($C$9:C24)</f>
        <v>136</v>
      </c>
    </row>
    <row r="25" customFormat="false" ht="15" hidden="false" customHeight="false" outlineLevel="0" collapsed="false">
      <c r="A25" s="10" t="n">
        <v>17</v>
      </c>
      <c r="B25" s="11" t="n">
        <f aca="false">$B$3+7*(A25-1)</f>
        <v>46440</v>
      </c>
      <c r="C25" s="12" t="n">
        <v>17</v>
      </c>
      <c r="D25" s="13"/>
      <c r="E25" s="12" t="n">
        <f aca="false">SUM($C$9:C25)</f>
        <v>153</v>
      </c>
    </row>
    <row r="26" customFormat="false" ht="15" hidden="false" customHeight="false" outlineLevel="0" collapsed="false">
      <c r="A26" s="10" t="n">
        <v>18</v>
      </c>
      <c r="B26" s="11" t="n">
        <f aca="false">$B$3+7*(A26-1)</f>
        <v>46447</v>
      </c>
      <c r="C26" s="12" t="n">
        <v>18</v>
      </c>
      <c r="D26" s="13"/>
      <c r="E26" s="12" t="n">
        <f aca="false">SUM($C$9:C26)</f>
        <v>171</v>
      </c>
    </row>
    <row r="27" customFormat="false" ht="15" hidden="false" customHeight="false" outlineLevel="0" collapsed="false">
      <c r="A27" s="10" t="n">
        <v>19</v>
      </c>
      <c r="B27" s="11" t="n">
        <f aca="false">$B$3+7*(A27-1)</f>
        <v>46454</v>
      </c>
      <c r="C27" s="12" t="n">
        <v>19</v>
      </c>
      <c r="D27" s="13"/>
      <c r="E27" s="12" t="n">
        <f aca="false">SUM($C$9:C27)</f>
        <v>190</v>
      </c>
    </row>
    <row r="28" customFormat="false" ht="15" hidden="false" customHeight="false" outlineLevel="0" collapsed="false">
      <c r="A28" s="10" t="n">
        <v>20</v>
      </c>
      <c r="B28" s="11" t="n">
        <f aca="false">$B$3+7*(A28-1)</f>
        <v>46461</v>
      </c>
      <c r="C28" s="12" t="n">
        <v>20</v>
      </c>
      <c r="D28" s="13"/>
      <c r="E28" s="12" t="n">
        <f aca="false">SUM($C$9:C28)</f>
        <v>210</v>
      </c>
    </row>
    <row r="29" customFormat="false" ht="15" hidden="false" customHeight="false" outlineLevel="0" collapsed="false">
      <c r="A29" s="10" t="n">
        <v>21</v>
      </c>
      <c r="B29" s="11" t="n">
        <f aca="false">$B$3+7*(A29-1)</f>
        <v>46468</v>
      </c>
      <c r="C29" s="12" t="n">
        <v>21</v>
      </c>
      <c r="D29" s="13"/>
      <c r="E29" s="12" t="n">
        <f aca="false">SUM($C$9:C29)</f>
        <v>231</v>
      </c>
    </row>
    <row r="30" customFormat="false" ht="15" hidden="false" customHeight="false" outlineLevel="0" collapsed="false">
      <c r="A30" s="10" t="n">
        <v>22</v>
      </c>
      <c r="B30" s="11" t="n">
        <f aca="false">$B$3+7*(A30-1)</f>
        <v>46475</v>
      </c>
      <c r="C30" s="12" t="n">
        <v>22</v>
      </c>
      <c r="D30" s="13"/>
      <c r="E30" s="12" t="n">
        <f aca="false">SUM($C$9:C30)</f>
        <v>253</v>
      </c>
    </row>
    <row r="31" customFormat="false" ht="15" hidden="false" customHeight="false" outlineLevel="0" collapsed="false">
      <c r="A31" s="10" t="n">
        <v>23</v>
      </c>
      <c r="B31" s="11" t="n">
        <f aca="false">$B$3+7*(A31-1)</f>
        <v>46482</v>
      </c>
      <c r="C31" s="12" t="n">
        <v>23</v>
      </c>
      <c r="D31" s="13"/>
      <c r="E31" s="12" t="n">
        <f aca="false">SUM($C$9:C31)</f>
        <v>276</v>
      </c>
    </row>
    <row r="32" customFormat="false" ht="15" hidden="false" customHeight="false" outlineLevel="0" collapsed="false">
      <c r="A32" s="10" t="n">
        <v>24</v>
      </c>
      <c r="B32" s="11" t="n">
        <f aca="false">$B$3+7*(A32-1)</f>
        <v>46489</v>
      </c>
      <c r="C32" s="12" t="n">
        <v>24</v>
      </c>
      <c r="D32" s="13"/>
      <c r="E32" s="12" t="n">
        <f aca="false">SUM($C$9:C32)</f>
        <v>300</v>
      </c>
    </row>
    <row r="33" customFormat="false" ht="15" hidden="false" customHeight="false" outlineLevel="0" collapsed="false">
      <c r="A33" s="10" t="n">
        <v>25</v>
      </c>
      <c r="B33" s="11" t="n">
        <f aca="false">$B$3+7*(A33-1)</f>
        <v>46496</v>
      </c>
      <c r="C33" s="12" t="n">
        <v>25</v>
      </c>
      <c r="D33" s="13"/>
      <c r="E33" s="12" t="n">
        <f aca="false">SUM($C$9:C33)</f>
        <v>325</v>
      </c>
    </row>
    <row r="34" customFormat="false" ht="15" hidden="false" customHeight="false" outlineLevel="0" collapsed="false">
      <c r="A34" s="10" t="n">
        <v>26</v>
      </c>
      <c r="B34" s="11" t="n">
        <f aca="false">$B$3+7*(A34-1)</f>
        <v>46503</v>
      </c>
      <c r="C34" s="12" t="n">
        <v>26</v>
      </c>
      <c r="D34" s="13"/>
      <c r="E34" s="12" t="n">
        <f aca="false">SUM($C$9:C34)</f>
        <v>351</v>
      </c>
    </row>
    <row r="35" customFormat="false" ht="15" hidden="false" customHeight="false" outlineLevel="0" collapsed="false">
      <c r="A35" s="10" t="n">
        <v>27</v>
      </c>
      <c r="B35" s="11" t="n">
        <f aca="false">$B$3+7*(A35-1)</f>
        <v>46510</v>
      </c>
      <c r="C35" s="12" t="n">
        <v>27</v>
      </c>
      <c r="D35" s="13"/>
      <c r="E35" s="12" t="n">
        <f aca="false">SUM($C$9:C35)</f>
        <v>378</v>
      </c>
    </row>
    <row r="36" customFormat="false" ht="15" hidden="false" customHeight="false" outlineLevel="0" collapsed="false">
      <c r="A36" s="10" t="n">
        <v>28</v>
      </c>
      <c r="B36" s="11" t="n">
        <f aca="false">$B$3+7*(A36-1)</f>
        <v>46517</v>
      </c>
      <c r="C36" s="12" t="n">
        <v>28</v>
      </c>
      <c r="D36" s="13"/>
      <c r="E36" s="12" t="n">
        <f aca="false">SUM($C$9:C36)</f>
        <v>406</v>
      </c>
    </row>
    <row r="37" customFormat="false" ht="15" hidden="false" customHeight="false" outlineLevel="0" collapsed="false">
      <c r="A37" s="10" t="n">
        <v>29</v>
      </c>
      <c r="B37" s="11" t="n">
        <f aca="false">$B$3+7*(A37-1)</f>
        <v>46524</v>
      </c>
      <c r="C37" s="12" t="n">
        <v>29</v>
      </c>
      <c r="D37" s="13"/>
      <c r="E37" s="12" t="n">
        <f aca="false">SUM($C$9:C37)</f>
        <v>435</v>
      </c>
    </row>
    <row r="38" customFormat="false" ht="15" hidden="false" customHeight="false" outlineLevel="0" collapsed="false">
      <c r="A38" s="10" t="n">
        <v>30</v>
      </c>
      <c r="B38" s="11" t="n">
        <f aca="false">$B$3+7*(A38-1)</f>
        <v>46531</v>
      </c>
      <c r="C38" s="12" t="n">
        <v>30</v>
      </c>
      <c r="D38" s="13"/>
      <c r="E38" s="12" t="n">
        <f aca="false">SUM($C$9:C38)</f>
        <v>465</v>
      </c>
    </row>
    <row r="39" customFormat="false" ht="15" hidden="false" customHeight="false" outlineLevel="0" collapsed="false">
      <c r="A39" s="10" t="n">
        <v>31</v>
      </c>
      <c r="B39" s="11" t="n">
        <f aca="false">$B$3+7*(A39-1)</f>
        <v>46538</v>
      </c>
      <c r="C39" s="12" t="n">
        <v>31</v>
      </c>
      <c r="D39" s="13"/>
      <c r="E39" s="12" t="n">
        <f aca="false">SUM($C$9:C39)</f>
        <v>496</v>
      </c>
    </row>
    <row r="40" customFormat="false" ht="15" hidden="false" customHeight="false" outlineLevel="0" collapsed="false">
      <c r="A40" s="10" t="n">
        <v>32</v>
      </c>
      <c r="B40" s="11" t="n">
        <f aca="false">$B$3+7*(A40-1)</f>
        <v>46545</v>
      </c>
      <c r="C40" s="12" t="n">
        <v>32</v>
      </c>
      <c r="D40" s="13"/>
      <c r="E40" s="12" t="n">
        <f aca="false">SUM($C$9:C40)</f>
        <v>528</v>
      </c>
    </row>
    <row r="41" customFormat="false" ht="15" hidden="false" customHeight="false" outlineLevel="0" collapsed="false">
      <c r="A41" s="10" t="n">
        <v>33</v>
      </c>
      <c r="B41" s="11" t="n">
        <f aca="false">$B$3+7*(A41-1)</f>
        <v>46552</v>
      </c>
      <c r="C41" s="12" t="n">
        <v>33</v>
      </c>
      <c r="D41" s="13"/>
      <c r="E41" s="12" t="n">
        <f aca="false">SUM($C$9:C41)</f>
        <v>561</v>
      </c>
    </row>
    <row r="42" customFormat="false" ht="15" hidden="false" customHeight="false" outlineLevel="0" collapsed="false">
      <c r="A42" s="10" t="n">
        <v>34</v>
      </c>
      <c r="B42" s="11" t="n">
        <f aca="false">$B$3+7*(A42-1)</f>
        <v>46559</v>
      </c>
      <c r="C42" s="12" t="n">
        <v>34</v>
      </c>
      <c r="D42" s="13"/>
      <c r="E42" s="12" t="n">
        <f aca="false">SUM($C$9:C42)</f>
        <v>595</v>
      </c>
    </row>
    <row r="43" customFormat="false" ht="15" hidden="false" customHeight="false" outlineLevel="0" collapsed="false">
      <c r="A43" s="10" t="n">
        <v>35</v>
      </c>
      <c r="B43" s="11" t="n">
        <f aca="false">$B$3+7*(A43-1)</f>
        <v>46566</v>
      </c>
      <c r="C43" s="12" t="n">
        <v>35</v>
      </c>
      <c r="D43" s="13"/>
      <c r="E43" s="12" t="n">
        <f aca="false">SUM($C$9:C43)</f>
        <v>630</v>
      </c>
    </row>
    <row r="44" customFormat="false" ht="15" hidden="false" customHeight="false" outlineLevel="0" collapsed="false">
      <c r="A44" s="10" t="n">
        <v>36</v>
      </c>
      <c r="B44" s="11" t="n">
        <f aca="false">$B$3+7*(A44-1)</f>
        <v>46573</v>
      </c>
      <c r="C44" s="12" t="n">
        <v>36</v>
      </c>
      <c r="D44" s="13"/>
      <c r="E44" s="12" t="n">
        <f aca="false">SUM($C$9:C44)</f>
        <v>666</v>
      </c>
    </row>
    <row r="45" customFormat="false" ht="15" hidden="false" customHeight="false" outlineLevel="0" collapsed="false">
      <c r="A45" s="10" t="n">
        <v>37</v>
      </c>
      <c r="B45" s="11" t="n">
        <f aca="false">$B$3+7*(A45-1)</f>
        <v>46580</v>
      </c>
      <c r="C45" s="12" t="n">
        <v>37</v>
      </c>
      <c r="D45" s="13"/>
      <c r="E45" s="12" t="n">
        <f aca="false">SUM($C$9:C45)</f>
        <v>703</v>
      </c>
    </row>
    <row r="46" customFormat="false" ht="15" hidden="false" customHeight="false" outlineLevel="0" collapsed="false">
      <c r="A46" s="10" t="n">
        <v>38</v>
      </c>
      <c r="B46" s="11" t="n">
        <f aca="false">$B$3+7*(A46-1)</f>
        <v>46587</v>
      </c>
      <c r="C46" s="12" t="n">
        <v>38</v>
      </c>
      <c r="D46" s="13"/>
      <c r="E46" s="12" t="n">
        <f aca="false">SUM($C$9:C46)</f>
        <v>741</v>
      </c>
    </row>
    <row r="47" customFormat="false" ht="15" hidden="false" customHeight="false" outlineLevel="0" collapsed="false">
      <c r="A47" s="10" t="n">
        <v>39</v>
      </c>
      <c r="B47" s="11" t="n">
        <f aca="false">$B$3+7*(A47-1)</f>
        <v>46594</v>
      </c>
      <c r="C47" s="12" t="n">
        <v>39</v>
      </c>
      <c r="D47" s="13"/>
      <c r="E47" s="12" t="n">
        <f aca="false">SUM($C$9:C47)</f>
        <v>780</v>
      </c>
    </row>
    <row r="48" customFormat="false" ht="15" hidden="false" customHeight="false" outlineLevel="0" collapsed="false">
      <c r="A48" s="10" t="n">
        <v>40</v>
      </c>
      <c r="B48" s="11" t="n">
        <f aca="false">$B$3+7*(A48-1)</f>
        <v>46601</v>
      </c>
      <c r="C48" s="12" t="n">
        <v>40</v>
      </c>
      <c r="D48" s="13"/>
      <c r="E48" s="12" t="n">
        <f aca="false">SUM($C$9:C48)</f>
        <v>820</v>
      </c>
    </row>
    <row r="49" customFormat="false" ht="15" hidden="false" customHeight="false" outlineLevel="0" collapsed="false">
      <c r="A49" s="10" t="n">
        <v>41</v>
      </c>
      <c r="B49" s="11" t="n">
        <f aca="false">$B$3+7*(A49-1)</f>
        <v>46608</v>
      </c>
      <c r="C49" s="12" t="n">
        <v>41</v>
      </c>
      <c r="D49" s="13"/>
      <c r="E49" s="12" t="n">
        <f aca="false">SUM($C$9:C49)</f>
        <v>861</v>
      </c>
    </row>
    <row r="50" customFormat="false" ht="15" hidden="false" customHeight="false" outlineLevel="0" collapsed="false">
      <c r="A50" s="10" t="n">
        <v>42</v>
      </c>
      <c r="B50" s="11" t="n">
        <f aca="false">$B$3+7*(A50-1)</f>
        <v>46615</v>
      </c>
      <c r="C50" s="12" t="n">
        <v>42</v>
      </c>
      <c r="D50" s="13"/>
      <c r="E50" s="12" t="n">
        <f aca="false">SUM($C$9:C50)</f>
        <v>903</v>
      </c>
    </row>
    <row r="51" customFormat="false" ht="15" hidden="false" customHeight="false" outlineLevel="0" collapsed="false">
      <c r="A51" s="10" t="n">
        <v>43</v>
      </c>
      <c r="B51" s="11" t="n">
        <f aca="false">$B$3+7*(A51-1)</f>
        <v>46622</v>
      </c>
      <c r="C51" s="12" t="n">
        <v>43</v>
      </c>
      <c r="D51" s="13"/>
      <c r="E51" s="12" t="n">
        <f aca="false">SUM($C$9:C51)</f>
        <v>946</v>
      </c>
    </row>
    <row r="52" customFormat="false" ht="15" hidden="false" customHeight="false" outlineLevel="0" collapsed="false">
      <c r="A52" s="10" t="n">
        <v>44</v>
      </c>
      <c r="B52" s="11" t="n">
        <f aca="false">$B$3+7*(A52-1)</f>
        <v>46629</v>
      </c>
      <c r="C52" s="12" t="n">
        <v>44</v>
      </c>
      <c r="D52" s="13"/>
      <c r="E52" s="12" t="n">
        <f aca="false">SUM($C$9:C52)</f>
        <v>990</v>
      </c>
    </row>
    <row r="53" customFormat="false" ht="15" hidden="false" customHeight="false" outlineLevel="0" collapsed="false">
      <c r="A53" s="10" t="n">
        <v>45</v>
      </c>
      <c r="B53" s="11" t="n">
        <f aca="false">$B$3+7*(A53-1)</f>
        <v>46636</v>
      </c>
      <c r="C53" s="12" t="n">
        <v>45</v>
      </c>
      <c r="D53" s="13"/>
      <c r="E53" s="12" t="n">
        <f aca="false">SUM($C$9:C53)</f>
        <v>1035</v>
      </c>
    </row>
    <row r="54" customFormat="false" ht="15" hidden="false" customHeight="false" outlineLevel="0" collapsed="false">
      <c r="A54" s="10" t="n">
        <v>46</v>
      </c>
      <c r="B54" s="11" t="n">
        <f aca="false">$B$3+7*(A54-1)</f>
        <v>46643</v>
      </c>
      <c r="C54" s="12" t="n">
        <v>46</v>
      </c>
      <c r="D54" s="13"/>
      <c r="E54" s="12" t="n">
        <f aca="false">SUM($C$9:C54)</f>
        <v>1081</v>
      </c>
    </row>
    <row r="55" customFormat="false" ht="15" hidden="false" customHeight="false" outlineLevel="0" collapsed="false">
      <c r="A55" s="10" t="n">
        <v>47</v>
      </c>
      <c r="B55" s="11" t="n">
        <f aca="false">$B$3+7*(A55-1)</f>
        <v>46650</v>
      </c>
      <c r="C55" s="12" t="n">
        <v>47</v>
      </c>
      <c r="D55" s="13"/>
      <c r="E55" s="12" t="n">
        <f aca="false">SUM($C$9:C55)</f>
        <v>1128</v>
      </c>
    </row>
    <row r="56" customFormat="false" ht="15" hidden="false" customHeight="false" outlineLevel="0" collapsed="false">
      <c r="A56" s="10" t="n">
        <v>48</v>
      </c>
      <c r="B56" s="11" t="n">
        <f aca="false">$B$3+7*(A56-1)</f>
        <v>46657</v>
      </c>
      <c r="C56" s="12" t="n">
        <v>48</v>
      </c>
      <c r="D56" s="13"/>
      <c r="E56" s="12" t="n">
        <f aca="false">SUM($C$9:C56)</f>
        <v>1176</v>
      </c>
    </row>
    <row r="57" customFormat="false" ht="15" hidden="false" customHeight="false" outlineLevel="0" collapsed="false">
      <c r="A57" s="10" t="n">
        <v>49</v>
      </c>
      <c r="B57" s="11" t="n">
        <f aca="false">$B$3+7*(A57-1)</f>
        <v>46664</v>
      </c>
      <c r="C57" s="12" t="n">
        <v>49</v>
      </c>
      <c r="D57" s="13"/>
      <c r="E57" s="12" t="n">
        <f aca="false">SUM($C$9:C57)</f>
        <v>1225</v>
      </c>
    </row>
    <row r="58" customFormat="false" ht="15" hidden="false" customHeight="false" outlineLevel="0" collapsed="false">
      <c r="A58" s="10" t="n">
        <v>50</v>
      </c>
      <c r="B58" s="11" t="n">
        <f aca="false">$B$3+7*(A58-1)</f>
        <v>46671</v>
      </c>
      <c r="C58" s="12" t="n">
        <v>50</v>
      </c>
      <c r="D58" s="13"/>
      <c r="E58" s="12" t="n">
        <f aca="false">SUM($C$9:C58)</f>
        <v>1275</v>
      </c>
    </row>
    <row r="59" customFormat="false" ht="15" hidden="false" customHeight="false" outlineLevel="0" collapsed="false">
      <c r="A59" s="10" t="n">
        <v>51</v>
      </c>
      <c r="B59" s="11" t="n">
        <f aca="false">$B$3+7*(A59-1)</f>
        <v>46678</v>
      </c>
      <c r="C59" s="12" t="n">
        <v>51</v>
      </c>
      <c r="D59" s="13"/>
      <c r="E59" s="12" t="n">
        <f aca="false">SUM($C$9:C59)</f>
        <v>1326</v>
      </c>
    </row>
    <row r="60" customFormat="false" ht="15" hidden="false" customHeight="false" outlineLevel="0" collapsed="false">
      <c r="A60" s="10" t="n">
        <v>52</v>
      </c>
      <c r="B60" s="11" t="n">
        <f aca="false">$B$3+7*(A60-1)</f>
        <v>46685</v>
      </c>
      <c r="C60" s="12" t="n">
        <v>52</v>
      </c>
      <c r="D60" s="13"/>
      <c r="E60" s="12" t="n">
        <f aca="false">SUM($C$9:C60)</f>
        <v>1378</v>
      </c>
    </row>
  </sheetData>
  <conditionalFormatting sqref="A9:E60">
    <cfRule type="expression" priority="2" aboveAverage="0" equalAverage="0" bottom="0" percent="0" rank="0" text="" dxfId="0">
      <formula>$D9="Yes"</formula>
    </cfRule>
  </conditionalFormatting>
  <dataValidations count="1">
    <dataValidation allowBlank="true" errorStyle="stop" operator="between" showDropDown="false" showErrorMessage="false" showInputMessage="false" sqref="D9:D60" type="list">
      <formula1>"Yes"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20"/>
  </cols>
  <sheetData>
    <row r="1" customFormat="false" ht="19.7" hidden="false" customHeight="false" outlineLevel="0" collapsed="false">
      <c r="A1" s="1" t="s">
        <v>23</v>
      </c>
    </row>
    <row r="2" customFormat="false" ht="15" hidden="false" customHeight="false" outlineLevel="0" collapsed="false">
      <c r="A2" s="4" t="s">
        <v>24</v>
      </c>
    </row>
    <row r="3" customFormat="false" ht="15" hidden="false" customHeight="false" outlineLevel="0" collapsed="false">
      <c r="A3" s="5" t="s">
        <v>13</v>
      </c>
      <c r="B3" s="6" t="n">
        <v>46328</v>
      </c>
    </row>
    <row r="4" customFormat="false" ht="15" hidden="false" customHeight="false" outlineLevel="0" collapsed="false">
      <c r="A4" s="5" t="s">
        <v>14</v>
      </c>
      <c r="B4" s="7" t="n">
        <f aca="false">SUMIF(D9:D60,"Yes",C9:C60)</f>
        <v>153</v>
      </c>
    </row>
    <row r="5" customFormat="false" ht="15" hidden="false" customHeight="false" outlineLevel="0" collapsed="false">
      <c r="A5" s="5" t="s">
        <v>15</v>
      </c>
      <c r="B5" s="5" t="str">
        <f aca="false">COUNTIF(D9:D60,"Yes")&amp;" of 52"</f>
        <v>3 of 52</v>
      </c>
    </row>
    <row r="6" customFormat="false" ht="15" hidden="false" customHeight="false" outlineLevel="0" collapsed="false">
      <c r="A6" s="5" t="s">
        <v>16</v>
      </c>
      <c r="B6" s="7" t="n">
        <f aca="false">SUM(C9:C60)</f>
        <v>1378</v>
      </c>
    </row>
    <row r="8" customFormat="false" ht="26.85" hidden="false" customHeight="false" outlineLevel="0" collapsed="false">
      <c r="A8" s="8" t="s">
        <v>17</v>
      </c>
      <c r="B8" s="8" t="s">
        <v>18</v>
      </c>
      <c r="C8" s="9" t="s">
        <v>19</v>
      </c>
      <c r="D8" s="8" t="s">
        <v>20</v>
      </c>
      <c r="E8" s="9" t="s">
        <v>21</v>
      </c>
    </row>
    <row r="9" customFormat="false" ht="15" hidden="false" customHeight="false" outlineLevel="0" collapsed="false">
      <c r="A9" s="10" t="n">
        <v>1</v>
      </c>
      <c r="B9" s="11" t="n">
        <f aca="false">$B$3+7*(A9-1)</f>
        <v>46328</v>
      </c>
      <c r="C9" s="12" t="n">
        <v>52</v>
      </c>
      <c r="D9" s="13" t="s">
        <v>22</v>
      </c>
      <c r="E9" s="12" t="n">
        <f aca="false">SUM($C$9:C9)</f>
        <v>52</v>
      </c>
    </row>
    <row r="10" customFormat="false" ht="15" hidden="false" customHeight="false" outlineLevel="0" collapsed="false">
      <c r="A10" s="10" t="n">
        <v>2</v>
      </c>
      <c r="B10" s="11" t="n">
        <f aca="false">$B$3+7*(A10-1)</f>
        <v>46335</v>
      </c>
      <c r="C10" s="12" t="n">
        <v>51</v>
      </c>
      <c r="D10" s="13" t="s">
        <v>22</v>
      </c>
      <c r="E10" s="12" t="n">
        <f aca="false">SUM($C$9:C10)</f>
        <v>103</v>
      </c>
    </row>
    <row r="11" customFormat="false" ht="15" hidden="false" customHeight="false" outlineLevel="0" collapsed="false">
      <c r="A11" s="10" t="n">
        <v>3</v>
      </c>
      <c r="B11" s="11" t="n">
        <f aca="false">$B$3+7*(A11-1)</f>
        <v>46342</v>
      </c>
      <c r="C11" s="12" t="n">
        <v>50</v>
      </c>
      <c r="D11" s="13" t="s">
        <v>22</v>
      </c>
      <c r="E11" s="12" t="n">
        <f aca="false">SUM($C$9:C11)</f>
        <v>153</v>
      </c>
    </row>
    <row r="12" customFormat="false" ht="15" hidden="false" customHeight="false" outlineLevel="0" collapsed="false">
      <c r="A12" s="10" t="n">
        <v>4</v>
      </c>
      <c r="B12" s="11" t="n">
        <f aca="false">$B$3+7*(A12-1)</f>
        <v>46349</v>
      </c>
      <c r="C12" s="12" t="n">
        <v>49</v>
      </c>
      <c r="D12" s="13"/>
      <c r="E12" s="12" t="n">
        <f aca="false">SUM($C$9:C12)</f>
        <v>202</v>
      </c>
    </row>
    <row r="13" customFormat="false" ht="15" hidden="false" customHeight="false" outlineLevel="0" collapsed="false">
      <c r="A13" s="10" t="n">
        <v>5</v>
      </c>
      <c r="B13" s="11" t="n">
        <f aca="false">$B$3+7*(A13-1)</f>
        <v>46356</v>
      </c>
      <c r="C13" s="12" t="n">
        <v>48</v>
      </c>
      <c r="D13" s="13"/>
      <c r="E13" s="12" t="n">
        <f aca="false">SUM($C$9:C13)</f>
        <v>250</v>
      </c>
    </row>
    <row r="14" customFormat="false" ht="15" hidden="false" customHeight="false" outlineLevel="0" collapsed="false">
      <c r="A14" s="10" t="n">
        <v>6</v>
      </c>
      <c r="B14" s="11" t="n">
        <f aca="false">$B$3+7*(A14-1)</f>
        <v>46363</v>
      </c>
      <c r="C14" s="12" t="n">
        <v>47</v>
      </c>
      <c r="D14" s="13"/>
      <c r="E14" s="12" t="n">
        <f aca="false">SUM($C$9:C14)</f>
        <v>297</v>
      </c>
    </row>
    <row r="15" customFormat="false" ht="15" hidden="false" customHeight="false" outlineLevel="0" collapsed="false">
      <c r="A15" s="10" t="n">
        <v>7</v>
      </c>
      <c r="B15" s="11" t="n">
        <f aca="false">$B$3+7*(A15-1)</f>
        <v>46370</v>
      </c>
      <c r="C15" s="12" t="n">
        <v>46</v>
      </c>
      <c r="D15" s="13"/>
      <c r="E15" s="12" t="n">
        <f aca="false">SUM($C$9:C15)</f>
        <v>343</v>
      </c>
    </row>
    <row r="16" customFormat="false" ht="15" hidden="false" customHeight="false" outlineLevel="0" collapsed="false">
      <c r="A16" s="10" t="n">
        <v>8</v>
      </c>
      <c r="B16" s="11" t="n">
        <f aca="false">$B$3+7*(A16-1)</f>
        <v>46377</v>
      </c>
      <c r="C16" s="12" t="n">
        <v>45</v>
      </c>
      <c r="D16" s="13"/>
      <c r="E16" s="12" t="n">
        <f aca="false">SUM($C$9:C16)</f>
        <v>388</v>
      </c>
    </row>
    <row r="17" customFormat="false" ht="15" hidden="false" customHeight="false" outlineLevel="0" collapsed="false">
      <c r="A17" s="10" t="n">
        <v>9</v>
      </c>
      <c r="B17" s="11" t="n">
        <f aca="false">$B$3+7*(A17-1)</f>
        <v>46384</v>
      </c>
      <c r="C17" s="12" t="n">
        <v>44</v>
      </c>
      <c r="D17" s="13"/>
      <c r="E17" s="12" t="n">
        <f aca="false">SUM($C$9:C17)</f>
        <v>432</v>
      </c>
    </row>
    <row r="18" customFormat="false" ht="15" hidden="false" customHeight="false" outlineLevel="0" collapsed="false">
      <c r="A18" s="10" t="n">
        <v>10</v>
      </c>
      <c r="B18" s="11" t="n">
        <f aca="false">$B$3+7*(A18-1)</f>
        <v>46391</v>
      </c>
      <c r="C18" s="12" t="n">
        <v>43</v>
      </c>
      <c r="D18" s="13"/>
      <c r="E18" s="12" t="n">
        <f aca="false">SUM($C$9:C18)</f>
        <v>475</v>
      </c>
    </row>
    <row r="19" customFormat="false" ht="15" hidden="false" customHeight="false" outlineLevel="0" collapsed="false">
      <c r="A19" s="10" t="n">
        <v>11</v>
      </c>
      <c r="B19" s="11" t="n">
        <f aca="false">$B$3+7*(A19-1)</f>
        <v>46398</v>
      </c>
      <c r="C19" s="12" t="n">
        <v>42</v>
      </c>
      <c r="D19" s="13"/>
      <c r="E19" s="12" t="n">
        <f aca="false">SUM($C$9:C19)</f>
        <v>517</v>
      </c>
    </row>
    <row r="20" customFormat="false" ht="15" hidden="false" customHeight="false" outlineLevel="0" collapsed="false">
      <c r="A20" s="10" t="n">
        <v>12</v>
      </c>
      <c r="B20" s="11" t="n">
        <f aca="false">$B$3+7*(A20-1)</f>
        <v>46405</v>
      </c>
      <c r="C20" s="12" t="n">
        <v>41</v>
      </c>
      <c r="D20" s="13"/>
      <c r="E20" s="12" t="n">
        <f aca="false">SUM($C$9:C20)</f>
        <v>558</v>
      </c>
    </row>
    <row r="21" customFormat="false" ht="15" hidden="false" customHeight="false" outlineLevel="0" collapsed="false">
      <c r="A21" s="10" t="n">
        <v>13</v>
      </c>
      <c r="B21" s="11" t="n">
        <f aca="false">$B$3+7*(A21-1)</f>
        <v>46412</v>
      </c>
      <c r="C21" s="12" t="n">
        <v>40</v>
      </c>
      <c r="D21" s="13"/>
      <c r="E21" s="12" t="n">
        <f aca="false">SUM($C$9:C21)</f>
        <v>598</v>
      </c>
    </row>
    <row r="22" customFormat="false" ht="15" hidden="false" customHeight="false" outlineLevel="0" collapsed="false">
      <c r="A22" s="10" t="n">
        <v>14</v>
      </c>
      <c r="B22" s="11" t="n">
        <f aca="false">$B$3+7*(A22-1)</f>
        <v>46419</v>
      </c>
      <c r="C22" s="12" t="n">
        <v>39</v>
      </c>
      <c r="D22" s="13"/>
      <c r="E22" s="12" t="n">
        <f aca="false">SUM($C$9:C22)</f>
        <v>637</v>
      </c>
    </row>
    <row r="23" customFormat="false" ht="15" hidden="false" customHeight="false" outlineLevel="0" collapsed="false">
      <c r="A23" s="10" t="n">
        <v>15</v>
      </c>
      <c r="B23" s="11" t="n">
        <f aca="false">$B$3+7*(A23-1)</f>
        <v>46426</v>
      </c>
      <c r="C23" s="12" t="n">
        <v>38</v>
      </c>
      <c r="D23" s="13"/>
      <c r="E23" s="12" t="n">
        <f aca="false">SUM($C$9:C23)</f>
        <v>675</v>
      </c>
    </row>
    <row r="24" customFormat="false" ht="15" hidden="false" customHeight="false" outlineLevel="0" collapsed="false">
      <c r="A24" s="10" t="n">
        <v>16</v>
      </c>
      <c r="B24" s="11" t="n">
        <f aca="false">$B$3+7*(A24-1)</f>
        <v>46433</v>
      </c>
      <c r="C24" s="12" t="n">
        <v>37</v>
      </c>
      <c r="D24" s="13"/>
      <c r="E24" s="12" t="n">
        <f aca="false">SUM($C$9:C24)</f>
        <v>712</v>
      </c>
    </row>
    <row r="25" customFormat="false" ht="15" hidden="false" customHeight="false" outlineLevel="0" collapsed="false">
      <c r="A25" s="10" t="n">
        <v>17</v>
      </c>
      <c r="B25" s="11" t="n">
        <f aca="false">$B$3+7*(A25-1)</f>
        <v>46440</v>
      </c>
      <c r="C25" s="12" t="n">
        <v>36</v>
      </c>
      <c r="D25" s="13"/>
      <c r="E25" s="12" t="n">
        <f aca="false">SUM($C$9:C25)</f>
        <v>748</v>
      </c>
    </row>
    <row r="26" customFormat="false" ht="15" hidden="false" customHeight="false" outlineLevel="0" collapsed="false">
      <c r="A26" s="10" t="n">
        <v>18</v>
      </c>
      <c r="B26" s="11" t="n">
        <f aca="false">$B$3+7*(A26-1)</f>
        <v>46447</v>
      </c>
      <c r="C26" s="12" t="n">
        <v>35</v>
      </c>
      <c r="D26" s="13"/>
      <c r="E26" s="12" t="n">
        <f aca="false">SUM($C$9:C26)</f>
        <v>783</v>
      </c>
    </row>
    <row r="27" customFormat="false" ht="15" hidden="false" customHeight="false" outlineLevel="0" collapsed="false">
      <c r="A27" s="10" t="n">
        <v>19</v>
      </c>
      <c r="B27" s="11" t="n">
        <f aca="false">$B$3+7*(A27-1)</f>
        <v>46454</v>
      </c>
      <c r="C27" s="12" t="n">
        <v>34</v>
      </c>
      <c r="D27" s="13"/>
      <c r="E27" s="12" t="n">
        <f aca="false">SUM($C$9:C27)</f>
        <v>817</v>
      </c>
    </row>
    <row r="28" customFormat="false" ht="15" hidden="false" customHeight="false" outlineLevel="0" collapsed="false">
      <c r="A28" s="10" t="n">
        <v>20</v>
      </c>
      <c r="B28" s="11" t="n">
        <f aca="false">$B$3+7*(A28-1)</f>
        <v>46461</v>
      </c>
      <c r="C28" s="12" t="n">
        <v>33</v>
      </c>
      <c r="D28" s="13"/>
      <c r="E28" s="12" t="n">
        <f aca="false">SUM($C$9:C28)</f>
        <v>850</v>
      </c>
    </row>
    <row r="29" customFormat="false" ht="15" hidden="false" customHeight="false" outlineLevel="0" collapsed="false">
      <c r="A29" s="10" t="n">
        <v>21</v>
      </c>
      <c r="B29" s="11" t="n">
        <f aca="false">$B$3+7*(A29-1)</f>
        <v>46468</v>
      </c>
      <c r="C29" s="12" t="n">
        <v>32</v>
      </c>
      <c r="D29" s="13"/>
      <c r="E29" s="12" t="n">
        <f aca="false">SUM($C$9:C29)</f>
        <v>882</v>
      </c>
    </row>
    <row r="30" customFormat="false" ht="15" hidden="false" customHeight="false" outlineLevel="0" collapsed="false">
      <c r="A30" s="10" t="n">
        <v>22</v>
      </c>
      <c r="B30" s="11" t="n">
        <f aca="false">$B$3+7*(A30-1)</f>
        <v>46475</v>
      </c>
      <c r="C30" s="12" t="n">
        <v>31</v>
      </c>
      <c r="D30" s="13"/>
      <c r="E30" s="12" t="n">
        <f aca="false">SUM($C$9:C30)</f>
        <v>913</v>
      </c>
    </row>
    <row r="31" customFormat="false" ht="15" hidden="false" customHeight="false" outlineLevel="0" collapsed="false">
      <c r="A31" s="10" t="n">
        <v>23</v>
      </c>
      <c r="B31" s="11" t="n">
        <f aca="false">$B$3+7*(A31-1)</f>
        <v>46482</v>
      </c>
      <c r="C31" s="12" t="n">
        <v>30</v>
      </c>
      <c r="D31" s="13"/>
      <c r="E31" s="12" t="n">
        <f aca="false">SUM($C$9:C31)</f>
        <v>943</v>
      </c>
    </row>
    <row r="32" customFormat="false" ht="15" hidden="false" customHeight="false" outlineLevel="0" collapsed="false">
      <c r="A32" s="10" t="n">
        <v>24</v>
      </c>
      <c r="B32" s="11" t="n">
        <f aca="false">$B$3+7*(A32-1)</f>
        <v>46489</v>
      </c>
      <c r="C32" s="12" t="n">
        <v>29</v>
      </c>
      <c r="D32" s="13"/>
      <c r="E32" s="12" t="n">
        <f aca="false">SUM($C$9:C32)</f>
        <v>972</v>
      </c>
    </row>
    <row r="33" customFormat="false" ht="15" hidden="false" customHeight="false" outlineLevel="0" collapsed="false">
      <c r="A33" s="10" t="n">
        <v>25</v>
      </c>
      <c r="B33" s="11" t="n">
        <f aca="false">$B$3+7*(A33-1)</f>
        <v>46496</v>
      </c>
      <c r="C33" s="12" t="n">
        <v>28</v>
      </c>
      <c r="D33" s="13"/>
      <c r="E33" s="12" t="n">
        <f aca="false">SUM($C$9:C33)</f>
        <v>1000</v>
      </c>
    </row>
    <row r="34" customFormat="false" ht="15" hidden="false" customHeight="false" outlineLevel="0" collapsed="false">
      <c r="A34" s="10" t="n">
        <v>26</v>
      </c>
      <c r="B34" s="11" t="n">
        <f aca="false">$B$3+7*(A34-1)</f>
        <v>46503</v>
      </c>
      <c r="C34" s="12" t="n">
        <v>27</v>
      </c>
      <c r="D34" s="13"/>
      <c r="E34" s="12" t="n">
        <f aca="false">SUM($C$9:C34)</f>
        <v>1027</v>
      </c>
    </row>
    <row r="35" customFormat="false" ht="15" hidden="false" customHeight="false" outlineLevel="0" collapsed="false">
      <c r="A35" s="10" t="n">
        <v>27</v>
      </c>
      <c r="B35" s="11" t="n">
        <f aca="false">$B$3+7*(A35-1)</f>
        <v>46510</v>
      </c>
      <c r="C35" s="12" t="n">
        <v>26</v>
      </c>
      <c r="D35" s="13"/>
      <c r="E35" s="12" t="n">
        <f aca="false">SUM($C$9:C35)</f>
        <v>1053</v>
      </c>
    </row>
    <row r="36" customFormat="false" ht="15" hidden="false" customHeight="false" outlineLevel="0" collapsed="false">
      <c r="A36" s="10" t="n">
        <v>28</v>
      </c>
      <c r="B36" s="11" t="n">
        <f aca="false">$B$3+7*(A36-1)</f>
        <v>46517</v>
      </c>
      <c r="C36" s="12" t="n">
        <v>25</v>
      </c>
      <c r="D36" s="13"/>
      <c r="E36" s="12" t="n">
        <f aca="false">SUM($C$9:C36)</f>
        <v>1078</v>
      </c>
    </row>
    <row r="37" customFormat="false" ht="15" hidden="false" customHeight="false" outlineLevel="0" collapsed="false">
      <c r="A37" s="10" t="n">
        <v>29</v>
      </c>
      <c r="B37" s="11" t="n">
        <f aca="false">$B$3+7*(A37-1)</f>
        <v>46524</v>
      </c>
      <c r="C37" s="12" t="n">
        <v>24</v>
      </c>
      <c r="D37" s="13"/>
      <c r="E37" s="12" t="n">
        <f aca="false">SUM($C$9:C37)</f>
        <v>1102</v>
      </c>
    </row>
    <row r="38" customFormat="false" ht="15" hidden="false" customHeight="false" outlineLevel="0" collapsed="false">
      <c r="A38" s="10" t="n">
        <v>30</v>
      </c>
      <c r="B38" s="11" t="n">
        <f aca="false">$B$3+7*(A38-1)</f>
        <v>46531</v>
      </c>
      <c r="C38" s="12" t="n">
        <v>23</v>
      </c>
      <c r="D38" s="13"/>
      <c r="E38" s="12" t="n">
        <f aca="false">SUM($C$9:C38)</f>
        <v>1125</v>
      </c>
    </row>
    <row r="39" customFormat="false" ht="15" hidden="false" customHeight="false" outlineLevel="0" collapsed="false">
      <c r="A39" s="10" t="n">
        <v>31</v>
      </c>
      <c r="B39" s="11" t="n">
        <f aca="false">$B$3+7*(A39-1)</f>
        <v>46538</v>
      </c>
      <c r="C39" s="12" t="n">
        <v>22</v>
      </c>
      <c r="D39" s="13"/>
      <c r="E39" s="12" t="n">
        <f aca="false">SUM($C$9:C39)</f>
        <v>1147</v>
      </c>
    </row>
    <row r="40" customFormat="false" ht="15" hidden="false" customHeight="false" outlineLevel="0" collapsed="false">
      <c r="A40" s="10" t="n">
        <v>32</v>
      </c>
      <c r="B40" s="11" t="n">
        <f aca="false">$B$3+7*(A40-1)</f>
        <v>46545</v>
      </c>
      <c r="C40" s="12" t="n">
        <v>21</v>
      </c>
      <c r="D40" s="13"/>
      <c r="E40" s="12" t="n">
        <f aca="false">SUM($C$9:C40)</f>
        <v>1168</v>
      </c>
    </row>
    <row r="41" customFormat="false" ht="15" hidden="false" customHeight="false" outlineLevel="0" collapsed="false">
      <c r="A41" s="10" t="n">
        <v>33</v>
      </c>
      <c r="B41" s="11" t="n">
        <f aca="false">$B$3+7*(A41-1)</f>
        <v>46552</v>
      </c>
      <c r="C41" s="12" t="n">
        <v>20</v>
      </c>
      <c r="D41" s="13"/>
      <c r="E41" s="12" t="n">
        <f aca="false">SUM($C$9:C41)</f>
        <v>1188</v>
      </c>
    </row>
    <row r="42" customFormat="false" ht="15" hidden="false" customHeight="false" outlineLevel="0" collapsed="false">
      <c r="A42" s="10" t="n">
        <v>34</v>
      </c>
      <c r="B42" s="11" t="n">
        <f aca="false">$B$3+7*(A42-1)</f>
        <v>46559</v>
      </c>
      <c r="C42" s="12" t="n">
        <v>19</v>
      </c>
      <c r="D42" s="13"/>
      <c r="E42" s="12" t="n">
        <f aca="false">SUM($C$9:C42)</f>
        <v>1207</v>
      </c>
    </row>
    <row r="43" customFormat="false" ht="15" hidden="false" customHeight="false" outlineLevel="0" collapsed="false">
      <c r="A43" s="10" t="n">
        <v>35</v>
      </c>
      <c r="B43" s="11" t="n">
        <f aca="false">$B$3+7*(A43-1)</f>
        <v>46566</v>
      </c>
      <c r="C43" s="12" t="n">
        <v>18</v>
      </c>
      <c r="D43" s="13"/>
      <c r="E43" s="12" t="n">
        <f aca="false">SUM($C$9:C43)</f>
        <v>1225</v>
      </c>
    </row>
    <row r="44" customFormat="false" ht="15" hidden="false" customHeight="false" outlineLevel="0" collapsed="false">
      <c r="A44" s="10" t="n">
        <v>36</v>
      </c>
      <c r="B44" s="11" t="n">
        <f aca="false">$B$3+7*(A44-1)</f>
        <v>46573</v>
      </c>
      <c r="C44" s="12" t="n">
        <v>17</v>
      </c>
      <c r="D44" s="13"/>
      <c r="E44" s="12" t="n">
        <f aca="false">SUM($C$9:C44)</f>
        <v>1242</v>
      </c>
    </row>
    <row r="45" customFormat="false" ht="15" hidden="false" customHeight="false" outlineLevel="0" collapsed="false">
      <c r="A45" s="10" t="n">
        <v>37</v>
      </c>
      <c r="B45" s="11" t="n">
        <f aca="false">$B$3+7*(A45-1)</f>
        <v>46580</v>
      </c>
      <c r="C45" s="12" t="n">
        <v>16</v>
      </c>
      <c r="D45" s="13"/>
      <c r="E45" s="12" t="n">
        <f aca="false">SUM($C$9:C45)</f>
        <v>1258</v>
      </c>
    </row>
    <row r="46" customFormat="false" ht="15" hidden="false" customHeight="false" outlineLevel="0" collapsed="false">
      <c r="A46" s="10" t="n">
        <v>38</v>
      </c>
      <c r="B46" s="11" t="n">
        <f aca="false">$B$3+7*(A46-1)</f>
        <v>46587</v>
      </c>
      <c r="C46" s="12" t="n">
        <v>15</v>
      </c>
      <c r="D46" s="13"/>
      <c r="E46" s="12" t="n">
        <f aca="false">SUM($C$9:C46)</f>
        <v>1273</v>
      </c>
    </row>
    <row r="47" customFormat="false" ht="15" hidden="false" customHeight="false" outlineLevel="0" collapsed="false">
      <c r="A47" s="10" t="n">
        <v>39</v>
      </c>
      <c r="B47" s="11" t="n">
        <f aca="false">$B$3+7*(A47-1)</f>
        <v>46594</v>
      </c>
      <c r="C47" s="12" t="n">
        <v>14</v>
      </c>
      <c r="D47" s="13"/>
      <c r="E47" s="12" t="n">
        <f aca="false">SUM($C$9:C47)</f>
        <v>1287</v>
      </c>
    </row>
    <row r="48" customFormat="false" ht="15" hidden="false" customHeight="false" outlineLevel="0" collapsed="false">
      <c r="A48" s="10" t="n">
        <v>40</v>
      </c>
      <c r="B48" s="11" t="n">
        <f aca="false">$B$3+7*(A48-1)</f>
        <v>46601</v>
      </c>
      <c r="C48" s="12" t="n">
        <v>13</v>
      </c>
      <c r="D48" s="13"/>
      <c r="E48" s="12" t="n">
        <f aca="false">SUM($C$9:C48)</f>
        <v>1300</v>
      </c>
    </row>
    <row r="49" customFormat="false" ht="15" hidden="false" customHeight="false" outlineLevel="0" collapsed="false">
      <c r="A49" s="10" t="n">
        <v>41</v>
      </c>
      <c r="B49" s="11" t="n">
        <f aca="false">$B$3+7*(A49-1)</f>
        <v>46608</v>
      </c>
      <c r="C49" s="12" t="n">
        <v>12</v>
      </c>
      <c r="D49" s="13"/>
      <c r="E49" s="12" t="n">
        <f aca="false">SUM($C$9:C49)</f>
        <v>1312</v>
      </c>
    </row>
    <row r="50" customFormat="false" ht="15" hidden="false" customHeight="false" outlineLevel="0" collapsed="false">
      <c r="A50" s="10" t="n">
        <v>42</v>
      </c>
      <c r="B50" s="11" t="n">
        <f aca="false">$B$3+7*(A50-1)</f>
        <v>46615</v>
      </c>
      <c r="C50" s="12" t="n">
        <v>11</v>
      </c>
      <c r="D50" s="13"/>
      <c r="E50" s="12" t="n">
        <f aca="false">SUM($C$9:C50)</f>
        <v>1323</v>
      </c>
    </row>
    <row r="51" customFormat="false" ht="15" hidden="false" customHeight="false" outlineLevel="0" collapsed="false">
      <c r="A51" s="10" t="n">
        <v>43</v>
      </c>
      <c r="B51" s="11" t="n">
        <f aca="false">$B$3+7*(A51-1)</f>
        <v>46622</v>
      </c>
      <c r="C51" s="12" t="n">
        <v>10</v>
      </c>
      <c r="D51" s="13"/>
      <c r="E51" s="12" t="n">
        <f aca="false">SUM($C$9:C51)</f>
        <v>1333</v>
      </c>
    </row>
    <row r="52" customFormat="false" ht="15" hidden="false" customHeight="false" outlineLevel="0" collapsed="false">
      <c r="A52" s="10" t="n">
        <v>44</v>
      </c>
      <c r="B52" s="11" t="n">
        <f aca="false">$B$3+7*(A52-1)</f>
        <v>46629</v>
      </c>
      <c r="C52" s="12" t="n">
        <v>9</v>
      </c>
      <c r="D52" s="13"/>
      <c r="E52" s="12" t="n">
        <f aca="false">SUM($C$9:C52)</f>
        <v>1342</v>
      </c>
    </row>
    <row r="53" customFormat="false" ht="15" hidden="false" customHeight="false" outlineLevel="0" collapsed="false">
      <c r="A53" s="10" t="n">
        <v>45</v>
      </c>
      <c r="B53" s="11" t="n">
        <f aca="false">$B$3+7*(A53-1)</f>
        <v>46636</v>
      </c>
      <c r="C53" s="12" t="n">
        <v>8</v>
      </c>
      <c r="D53" s="13"/>
      <c r="E53" s="12" t="n">
        <f aca="false">SUM($C$9:C53)</f>
        <v>1350</v>
      </c>
    </row>
    <row r="54" customFormat="false" ht="15" hidden="false" customHeight="false" outlineLevel="0" collapsed="false">
      <c r="A54" s="10" t="n">
        <v>46</v>
      </c>
      <c r="B54" s="11" t="n">
        <f aca="false">$B$3+7*(A54-1)</f>
        <v>46643</v>
      </c>
      <c r="C54" s="12" t="n">
        <v>7</v>
      </c>
      <c r="D54" s="13"/>
      <c r="E54" s="12" t="n">
        <f aca="false">SUM($C$9:C54)</f>
        <v>1357</v>
      </c>
    </row>
    <row r="55" customFormat="false" ht="15" hidden="false" customHeight="false" outlineLevel="0" collapsed="false">
      <c r="A55" s="10" t="n">
        <v>47</v>
      </c>
      <c r="B55" s="11" t="n">
        <f aca="false">$B$3+7*(A55-1)</f>
        <v>46650</v>
      </c>
      <c r="C55" s="12" t="n">
        <v>6</v>
      </c>
      <c r="D55" s="13"/>
      <c r="E55" s="12" t="n">
        <f aca="false">SUM($C$9:C55)</f>
        <v>1363</v>
      </c>
    </row>
    <row r="56" customFormat="false" ht="15" hidden="false" customHeight="false" outlineLevel="0" collapsed="false">
      <c r="A56" s="10" t="n">
        <v>48</v>
      </c>
      <c r="B56" s="11" t="n">
        <f aca="false">$B$3+7*(A56-1)</f>
        <v>46657</v>
      </c>
      <c r="C56" s="12" t="n">
        <v>5</v>
      </c>
      <c r="D56" s="13"/>
      <c r="E56" s="12" t="n">
        <f aca="false">SUM($C$9:C56)</f>
        <v>1368</v>
      </c>
    </row>
    <row r="57" customFormat="false" ht="15" hidden="false" customHeight="false" outlineLevel="0" collapsed="false">
      <c r="A57" s="10" t="n">
        <v>49</v>
      </c>
      <c r="B57" s="11" t="n">
        <f aca="false">$B$3+7*(A57-1)</f>
        <v>46664</v>
      </c>
      <c r="C57" s="12" t="n">
        <v>4</v>
      </c>
      <c r="D57" s="13"/>
      <c r="E57" s="12" t="n">
        <f aca="false">SUM($C$9:C57)</f>
        <v>1372</v>
      </c>
    </row>
    <row r="58" customFormat="false" ht="15" hidden="false" customHeight="false" outlineLevel="0" collapsed="false">
      <c r="A58" s="10" t="n">
        <v>50</v>
      </c>
      <c r="B58" s="11" t="n">
        <f aca="false">$B$3+7*(A58-1)</f>
        <v>46671</v>
      </c>
      <c r="C58" s="12" t="n">
        <v>3</v>
      </c>
      <c r="D58" s="13"/>
      <c r="E58" s="12" t="n">
        <f aca="false">SUM($C$9:C58)</f>
        <v>1375</v>
      </c>
    </row>
    <row r="59" customFormat="false" ht="15" hidden="false" customHeight="false" outlineLevel="0" collapsed="false">
      <c r="A59" s="10" t="n">
        <v>51</v>
      </c>
      <c r="B59" s="11" t="n">
        <f aca="false">$B$3+7*(A59-1)</f>
        <v>46678</v>
      </c>
      <c r="C59" s="12" t="n">
        <v>2</v>
      </c>
      <c r="D59" s="13"/>
      <c r="E59" s="12" t="n">
        <f aca="false">SUM($C$9:C59)</f>
        <v>1377</v>
      </c>
    </row>
    <row r="60" customFormat="false" ht="15" hidden="false" customHeight="false" outlineLevel="0" collapsed="false">
      <c r="A60" s="10" t="n">
        <v>52</v>
      </c>
      <c r="B60" s="11" t="n">
        <f aca="false">$B$3+7*(A60-1)</f>
        <v>46685</v>
      </c>
      <c r="C60" s="12" t="n">
        <v>1</v>
      </c>
      <c r="D60" s="13"/>
      <c r="E60" s="12" t="n">
        <f aca="false">SUM($C$9:C60)</f>
        <v>1378</v>
      </c>
    </row>
  </sheetData>
  <conditionalFormatting sqref="A9:E60">
    <cfRule type="expression" priority="2" aboveAverage="0" equalAverage="0" bottom="0" percent="0" rank="0" text="" dxfId="0">
      <formula>$D9="Yes"</formula>
    </cfRule>
  </conditionalFormatting>
  <dataValidations count="1">
    <dataValidation allowBlank="true" errorStyle="stop" operator="between" showDropDown="false" showErrorMessage="false" showInputMessage="false" sqref="D9:D60" type="list">
      <formula1>"Yes"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20"/>
  </cols>
  <sheetData>
    <row r="1" customFormat="false" ht="19.7" hidden="false" customHeight="false" outlineLevel="0" collapsed="false">
      <c r="A1" s="1" t="s">
        <v>25</v>
      </c>
    </row>
    <row r="2" customFormat="false" ht="15" hidden="false" customHeight="false" outlineLevel="0" collapsed="false">
      <c r="A2" s="4" t="s">
        <v>26</v>
      </c>
    </row>
    <row r="3" customFormat="false" ht="15" hidden="false" customHeight="false" outlineLevel="0" collapsed="false">
      <c r="A3" s="5" t="s">
        <v>13</v>
      </c>
      <c r="B3" s="6" t="n">
        <v>46328</v>
      </c>
    </row>
    <row r="4" customFormat="false" ht="15" hidden="false" customHeight="false" outlineLevel="0" collapsed="false">
      <c r="A4" s="5" t="s">
        <v>14</v>
      </c>
      <c r="B4" s="7" t="n">
        <f aca="false">SUMIF(D9:D60,"Yes",C9:C60)</f>
        <v>79.5</v>
      </c>
    </row>
    <row r="5" customFormat="false" ht="15" hidden="false" customHeight="false" outlineLevel="0" collapsed="false">
      <c r="A5" s="5" t="s">
        <v>15</v>
      </c>
      <c r="B5" s="5" t="str">
        <f aca="false">COUNTIF(D9:D60,"Yes")&amp;" of 52"</f>
        <v>3 of 52</v>
      </c>
    </row>
    <row r="6" customFormat="false" ht="15" hidden="false" customHeight="false" outlineLevel="0" collapsed="false">
      <c r="A6" s="5" t="s">
        <v>16</v>
      </c>
      <c r="B6" s="7" t="n">
        <f aca="false">SUM(C9:C60)</f>
        <v>1378</v>
      </c>
    </row>
    <row r="8" customFormat="false" ht="26.85" hidden="false" customHeight="false" outlineLevel="0" collapsed="false">
      <c r="A8" s="8" t="s">
        <v>17</v>
      </c>
      <c r="B8" s="8" t="s">
        <v>18</v>
      </c>
      <c r="C8" s="9" t="s">
        <v>19</v>
      </c>
      <c r="D8" s="8" t="s">
        <v>20</v>
      </c>
      <c r="E8" s="9" t="s">
        <v>21</v>
      </c>
    </row>
    <row r="9" customFormat="false" ht="15" hidden="false" customHeight="false" outlineLevel="0" collapsed="false">
      <c r="A9" s="10" t="n">
        <v>1</v>
      </c>
      <c r="B9" s="11" t="n">
        <f aca="false">$B$3+7*(A9-1)</f>
        <v>46328</v>
      </c>
      <c r="C9" s="12" t="n">
        <v>26.5</v>
      </c>
      <c r="D9" s="13" t="s">
        <v>22</v>
      </c>
      <c r="E9" s="12" t="n">
        <f aca="false">SUM($C$9:C9)</f>
        <v>26.5</v>
      </c>
    </row>
    <row r="10" customFormat="false" ht="15" hidden="false" customHeight="false" outlineLevel="0" collapsed="false">
      <c r="A10" s="10" t="n">
        <v>2</v>
      </c>
      <c r="B10" s="11" t="n">
        <f aca="false">$B$3+7*(A10-1)</f>
        <v>46335</v>
      </c>
      <c r="C10" s="12" t="n">
        <v>26.5</v>
      </c>
      <c r="D10" s="13" t="s">
        <v>22</v>
      </c>
      <c r="E10" s="12" t="n">
        <f aca="false">SUM($C$9:C10)</f>
        <v>53</v>
      </c>
    </row>
    <row r="11" customFormat="false" ht="15" hidden="false" customHeight="false" outlineLevel="0" collapsed="false">
      <c r="A11" s="10" t="n">
        <v>3</v>
      </c>
      <c r="B11" s="11" t="n">
        <f aca="false">$B$3+7*(A11-1)</f>
        <v>46342</v>
      </c>
      <c r="C11" s="12" t="n">
        <v>26.5</v>
      </c>
      <c r="D11" s="13" t="s">
        <v>22</v>
      </c>
      <c r="E11" s="12" t="n">
        <f aca="false">SUM($C$9:C11)</f>
        <v>79.5</v>
      </c>
    </row>
    <row r="12" customFormat="false" ht="15" hidden="false" customHeight="false" outlineLevel="0" collapsed="false">
      <c r="A12" s="10" t="n">
        <v>4</v>
      </c>
      <c r="B12" s="11" t="n">
        <f aca="false">$B$3+7*(A12-1)</f>
        <v>46349</v>
      </c>
      <c r="C12" s="12" t="n">
        <v>26.5</v>
      </c>
      <c r="D12" s="13"/>
      <c r="E12" s="12" t="n">
        <f aca="false">SUM($C$9:C12)</f>
        <v>106</v>
      </c>
    </row>
    <row r="13" customFormat="false" ht="15" hidden="false" customHeight="false" outlineLevel="0" collapsed="false">
      <c r="A13" s="10" t="n">
        <v>5</v>
      </c>
      <c r="B13" s="11" t="n">
        <f aca="false">$B$3+7*(A13-1)</f>
        <v>46356</v>
      </c>
      <c r="C13" s="12" t="n">
        <v>26.5</v>
      </c>
      <c r="D13" s="13"/>
      <c r="E13" s="12" t="n">
        <f aca="false">SUM($C$9:C13)</f>
        <v>132.5</v>
      </c>
    </row>
    <row r="14" customFormat="false" ht="15" hidden="false" customHeight="false" outlineLevel="0" collapsed="false">
      <c r="A14" s="10" t="n">
        <v>6</v>
      </c>
      <c r="B14" s="11" t="n">
        <f aca="false">$B$3+7*(A14-1)</f>
        <v>46363</v>
      </c>
      <c r="C14" s="12" t="n">
        <v>26.5</v>
      </c>
      <c r="D14" s="13"/>
      <c r="E14" s="12" t="n">
        <f aca="false">SUM($C$9:C14)</f>
        <v>159</v>
      </c>
    </row>
    <row r="15" customFormat="false" ht="15" hidden="false" customHeight="false" outlineLevel="0" collapsed="false">
      <c r="A15" s="10" t="n">
        <v>7</v>
      </c>
      <c r="B15" s="11" t="n">
        <f aca="false">$B$3+7*(A15-1)</f>
        <v>46370</v>
      </c>
      <c r="C15" s="12" t="n">
        <v>26.5</v>
      </c>
      <c r="D15" s="13"/>
      <c r="E15" s="12" t="n">
        <f aca="false">SUM($C$9:C15)</f>
        <v>185.5</v>
      </c>
    </row>
    <row r="16" customFormat="false" ht="15" hidden="false" customHeight="false" outlineLevel="0" collapsed="false">
      <c r="A16" s="10" t="n">
        <v>8</v>
      </c>
      <c r="B16" s="11" t="n">
        <f aca="false">$B$3+7*(A16-1)</f>
        <v>46377</v>
      </c>
      <c r="C16" s="12" t="n">
        <v>26.5</v>
      </c>
      <c r="D16" s="13"/>
      <c r="E16" s="12" t="n">
        <f aca="false">SUM($C$9:C16)</f>
        <v>212</v>
      </c>
    </row>
    <row r="17" customFormat="false" ht="15" hidden="false" customHeight="false" outlineLevel="0" collapsed="false">
      <c r="A17" s="10" t="n">
        <v>9</v>
      </c>
      <c r="B17" s="11" t="n">
        <f aca="false">$B$3+7*(A17-1)</f>
        <v>46384</v>
      </c>
      <c r="C17" s="12" t="n">
        <v>26.5</v>
      </c>
      <c r="D17" s="13"/>
      <c r="E17" s="12" t="n">
        <f aca="false">SUM($C$9:C17)</f>
        <v>238.5</v>
      </c>
    </row>
    <row r="18" customFormat="false" ht="15" hidden="false" customHeight="false" outlineLevel="0" collapsed="false">
      <c r="A18" s="10" t="n">
        <v>10</v>
      </c>
      <c r="B18" s="11" t="n">
        <f aca="false">$B$3+7*(A18-1)</f>
        <v>46391</v>
      </c>
      <c r="C18" s="12" t="n">
        <v>26.5</v>
      </c>
      <c r="D18" s="13"/>
      <c r="E18" s="12" t="n">
        <f aca="false">SUM($C$9:C18)</f>
        <v>265</v>
      </c>
    </row>
    <row r="19" customFormat="false" ht="15" hidden="false" customHeight="false" outlineLevel="0" collapsed="false">
      <c r="A19" s="10" t="n">
        <v>11</v>
      </c>
      <c r="B19" s="11" t="n">
        <f aca="false">$B$3+7*(A19-1)</f>
        <v>46398</v>
      </c>
      <c r="C19" s="12" t="n">
        <v>26.5</v>
      </c>
      <c r="D19" s="13"/>
      <c r="E19" s="12" t="n">
        <f aca="false">SUM($C$9:C19)</f>
        <v>291.5</v>
      </c>
    </row>
    <row r="20" customFormat="false" ht="15" hidden="false" customHeight="false" outlineLevel="0" collapsed="false">
      <c r="A20" s="10" t="n">
        <v>12</v>
      </c>
      <c r="B20" s="11" t="n">
        <f aca="false">$B$3+7*(A20-1)</f>
        <v>46405</v>
      </c>
      <c r="C20" s="12" t="n">
        <v>26.5</v>
      </c>
      <c r="D20" s="13"/>
      <c r="E20" s="12" t="n">
        <f aca="false">SUM($C$9:C20)</f>
        <v>318</v>
      </c>
    </row>
    <row r="21" customFormat="false" ht="15" hidden="false" customHeight="false" outlineLevel="0" collapsed="false">
      <c r="A21" s="10" t="n">
        <v>13</v>
      </c>
      <c r="B21" s="11" t="n">
        <f aca="false">$B$3+7*(A21-1)</f>
        <v>46412</v>
      </c>
      <c r="C21" s="12" t="n">
        <v>26.5</v>
      </c>
      <c r="D21" s="13"/>
      <c r="E21" s="12" t="n">
        <f aca="false">SUM($C$9:C21)</f>
        <v>344.5</v>
      </c>
    </row>
    <row r="22" customFormat="false" ht="15" hidden="false" customHeight="false" outlineLevel="0" collapsed="false">
      <c r="A22" s="10" t="n">
        <v>14</v>
      </c>
      <c r="B22" s="11" t="n">
        <f aca="false">$B$3+7*(A22-1)</f>
        <v>46419</v>
      </c>
      <c r="C22" s="12" t="n">
        <v>26.5</v>
      </c>
      <c r="D22" s="13"/>
      <c r="E22" s="12" t="n">
        <f aca="false">SUM($C$9:C22)</f>
        <v>371</v>
      </c>
    </row>
    <row r="23" customFormat="false" ht="15" hidden="false" customHeight="false" outlineLevel="0" collapsed="false">
      <c r="A23" s="10" t="n">
        <v>15</v>
      </c>
      <c r="B23" s="11" t="n">
        <f aca="false">$B$3+7*(A23-1)</f>
        <v>46426</v>
      </c>
      <c r="C23" s="12" t="n">
        <v>26.5</v>
      </c>
      <c r="D23" s="13"/>
      <c r="E23" s="12" t="n">
        <f aca="false">SUM($C$9:C23)</f>
        <v>397.5</v>
      </c>
    </row>
    <row r="24" customFormat="false" ht="15" hidden="false" customHeight="false" outlineLevel="0" collapsed="false">
      <c r="A24" s="10" t="n">
        <v>16</v>
      </c>
      <c r="B24" s="11" t="n">
        <f aca="false">$B$3+7*(A24-1)</f>
        <v>46433</v>
      </c>
      <c r="C24" s="12" t="n">
        <v>26.5</v>
      </c>
      <c r="D24" s="13"/>
      <c r="E24" s="12" t="n">
        <f aca="false">SUM($C$9:C24)</f>
        <v>424</v>
      </c>
    </row>
    <row r="25" customFormat="false" ht="15" hidden="false" customHeight="false" outlineLevel="0" collapsed="false">
      <c r="A25" s="10" t="n">
        <v>17</v>
      </c>
      <c r="B25" s="11" t="n">
        <f aca="false">$B$3+7*(A25-1)</f>
        <v>46440</v>
      </c>
      <c r="C25" s="12" t="n">
        <v>26.5</v>
      </c>
      <c r="D25" s="13"/>
      <c r="E25" s="12" t="n">
        <f aca="false">SUM($C$9:C25)</f>
        <v>450.5</v>
      </c>
    </row>
    <row r="26" customFormat="false" ht="15" hidden="false" customHeight="false" outlineLevel="0" collapsed="false">
      <c r="A26" s="10" t="n">
        <v>18</v>
      </c>
      <c r="B26" s="11" t="n">
        <f aca="false">$B$3+7*(A26-1)</f>
        <v>46447</v>
      </c>
      <c r="C26" s="12" t="n">
        <v>26.5</v>
      </c>
      <c r="D26" s="13"/>
      <c r="E26" s="12" t="n">
        <f aca="false">SUM($C$9:C26)</f>
        <v>477</v>
      </c>
    </row>
    <row r="27" customFormat="false" ht="15" hidden="false" customHeight="false" outlineLevel="0" collapsed="false">
      <c r="A27" s="10" t="n">
        <v>19</v>
      </c>
      <c r="B27" s="11" t="n">
        <f aca="false">$B$3+7*(A27-1)</f>
        <v>46454</v>
      </c>
      <c r="C27" s="12" t="n">
        <v>26.5</v>
      </c>
      <c r="D27" s="13"/>
      <c r="E27" s="12" t="n">
        <f aca="false">SUM($C$9:C27)</f>
        <v>503.5</v>
      </c>
    </row>
    <row r="28" customFormat="false" ht="15" hidden="false" customHeight="false" outlineLevel="0" collapsed="false">
      <c r="A28" s="10" t="n">
        <v>20</v>
      </c>
      <c r="B28" s="11" t="n">
        <f aca="false">$B$3+7*(A28-1)</f>
        <v>46461</v>
      </c>
      <c r="C28" s="12" t="n">
        <v>26.5</v>
      </c>
      <c r="D28" s="13"/>
      <c r="E28" s="12" t="n">
        <f aca="false">SUM($C$9:C28)</f>
        <v>530</v>
      </c>
    </row>
    <row r="29" customFormat="false" ht="15" hidden="false" customHeight="false" outlineLevel="0" collapsed="false">
      <c r="A29" s="10" t="n">
        <v>21</v>
      </c>
      <c r="B29" s="11" t="n">
        <f aca="false">$B$3+7*(A29-1)</f>
        <v>46468</v>
      </c>
      <c r="C29" s="12" t="n">
        <v>26.5</v>
      </c>
      <c r="D29" s="13"/>
      <c r="E29" s="12" t="n">
        <f aca="false">SUM($C$9:C29)</f>
        <v>556.5</v>
      </c>
    </row>
    <row r="30" customFormat="false" ht="15" hidden="false" customHeight="false" outlineLevel="0" collapsed="false">
      <c r="A30" s="10" t="n">
        <v>22</v>
      </c>
      <c r="B30" s="11" t="n">
        <f aca="false">$B$3+7*(A30-1)</f>
        <v>46475</v>
      </c>
      <c r="C30" s="12" t="n">
        <v>26.5</v>
      </c>
      <c r="D30" s="13"/>
      <c r="E30" s="12" t="n">
        <f aca="false">SUM($C$9:C30)</f>
        <v>583</v>
      </c>
    </row>
    <row r="31" customFormat="false" ht="15" hidden="false" customHeight="false" outlineLevel="0" collapsed="false">
      <c r="A31" s="10" t="n">
        <v>23</v>
      </c>
      <c r="B31" s="11" t="n">
        <f aca="false">$B$3+7*(A31-1)</f>
        <v>46482</v>
      </c>
      <c r="C31" s="12" t="n">
        <v>26.5</v>
      </c>
      <c r="D31" s="13"/>
      <c r="E31" s="12" t="n">
        <f aca="false">SUM($C$9:C31)</f>
        <v>609.5</v>
      </c>
    </row>
    <row r="32" customFormat="false" ht="15" hidden="false" customHeight="false" outlineLevel="0" collapsed="false">
      <c r="A32" s="10" t="n">
        <v>24</v>
      </c>
      <c r="B32" s="11" t="n">
        <f aca="false">$B$3+7*(A32-1)</f>
        <v>46489</v>
      </c>
      <c r="C32" s="12" t="n">
        <v>26.5</v>
      </c>
      <c r="D32" s="13"/>
      <c r="E32" s="12" t="n">
        <f aca="false">SUM($C$9:C32)</f>
        <v>636</v>
      </c>
    </row>
    <row r="33" customFormat="false" ht="15" hidden="false" customHeight="false" outlineLevel="0" collapsed="false">
      <c r="A33" s="10" t="n">
        <v>25</v>
      </c>
      <c r="B33" s="11" t="n">
        <f aca="false">$B$3+7*(A33-1)</f>
        <v>46496</v>
      </c>
      <c r="C33" s="12" t="n">
        <v>26.5</v>
      </c>
      <c r="D33" s="13"/>
      <c r="E33" s="12" t="n">
        <f aca="false">SUM($C$9:C33)</f>
        <v>662.5</v>
      </c>
    </row>
    <row r="34" customFormat="false" ht="15" hidden="false" customHeight="false" outlineLevel="0" collapsed="false">
      <c r="A34" s="10" t="n">
        <v>26</v>
      </c>
      <c r="B34" s="11" t="n">
        <f aca="false">$B$3+7*(A34-1)</f>
        <v>46503</v>
      </c>
      <c r="C34" s="12" t="n">
        <v>26.5</v>
      </c>
      <c r="D34" s="13"/>
      <c r="E34" s="12" t="n">
        <f aca="false">SUM($C$9:C34)</f>
        <v>689</v>
      </c>
    </row>
    <row r="35" customFormat="false" ht="15" hidden="false" customHeight="false" outlineLevel="0" collapsed="false">
      <c r="A35" s="10" t="n">
        <v>27</v>
      </c>
      <c r="B35" s="11" t="n">
        <f aca="false">$B$3+7*(A35-1)</f>
        <v>46510</v>
      </c>
      <c r="C35" s="12" t="n">
        <v>26.5</v>
      </c>
      <c r="D35" s="13"/>
      <c r="E35" s="12" t="n">
        <f aca="false">SUM($C$9:C35)</f>
        <v>715.5</v>
      </c>
    </row>
    <row r="36" customFormat="false" ht="15" hidden="false" customHeight="false" outlineLevel="0" collapsed="false">
      <c r="A36" s="10" t="n">
        <v>28</v>
      </c>
      <c r="B36" s="11" t="n">
        <f aca="false">$B$3+7*(A36-1)</f>
        <v>46517</v>
      </c>
      <c r="C36" s="12" t="n">
        <v>26.5</v>
      </c>
      <c r="D36" s="13"/>
      <c r="E36" s="12" t="n">
        <f aca="false">SUM($C$9:C36)</f>
        <v>742</v>
      </c>
    </row>
    <row r="37" customFormat="false" ht="15" hidden="false" customHeight="false" outlineLevel="0" collapsed="false">
      <c r="A37" s="10" t="n">
        <v>29</v>
      </c>
      <c r="B37" s="11" t="n">
        <f aca="false">$B$3+7*(A37-1)</f>
        <v>46524</v>
      </c>
      <c r="C37" s="12" t="n">
        <v>26.5</v>
      </c>
      <c r="D37" s="13"/>
      <c r="E37" s="12" t="n">
        <f aca="false">SUM($C$9:C37)</f>
        <v>768.5</v>
      </c>
    </row>
    <row r="38" customFormat="false" ht="15" hidden="false" customHeight="false" outlineLevel="0" collapsed="false">
      <c r="A38" s="10" t="n">
        <v>30</v>
      </c>
      <c r="B38" s="11" t="n">
        <f aca="false">$B$3+7*(A38-1)</f>
        <v>46531</v>
      </c>
      <c r="C38" s="12" t="n">
        <v>26.5</v>
      </c>
      <c r="D38" s="13"/>
      <c r="E38" s="12" t="n">
        <f aca="false">SUM($C$9:C38)</f>
        <v>795</v>
      </c>
    </row>
    <row r="39" customFormat="false" ht="15" hidden="false" customHeight="false" outlineLevel="0" collapsed="false">
      <c r="A39" s="10" t="n">
        <v>31</v>
      </c>
      <c r="B39" s="11" t="n">
        <f aca="false">$B$3+7*(A39-1)</f>
        <v>46538</v>
      </c>
      <c r="C39" s="12" t="n">
        <v>26.5</v>
      </c>
      <c r="D39" s="13"/>
      <c r="E39" s="12" t="n">
        <f aca="false">SUM($C$9:C39)</f>
        <v>821.5</v>
      </c>
    </row>
    <row r="40" customFormat="false" ht="15" hidden="false" customHeight="false" outlineLevel="0" collapsed="false">
      <c r="A40" s="10" t="n">
        <v>32</v>
      </c>
      <c r="B40" s="11" t="n">
        <f aca="false">$B$3+7*(A40-1)</f>
        <v>46545</v>
      </c>
      <c r="C40" s="12" t="n">
        <v>26.5</v>
      </c>
      <c r="D40" s="13"/>
      <c r="E40" s="12" t="n">
        <f aca="false">SUM($C$9:C40)</f>
        <v>848</v>
      </c>
    </row>
    <row r="41" customFormat="false" ht="15" hidden="false" customHeight="false" outlineLevel="0" collapsed="false">
      <c r="A41" s="10" t="n">
        <v>33</v>
      </c>
      <c r="B41" s="11" t="n">
        <f aca="false">$B$3+7*(A41-1)</f>
        <v>46552</v>
      </c>
      <c r="C41" s="12" t="n">
        <v>26.5</v>
      </c>
      <c r="D41" s="13"/>
      <c r="E41" s="12" t="n">
        <f aca="false">SUM($C$9:C41)</f>
        <v>874.5</v>
      </c>
    </row>
    <row r="42" customFormat="false" ht="15" hidden="false" customHeight="false" outlineLevel="0" collapsed="false">
      <c r="A42" s="10" t="n">
        <v>34</v>
      </c>
      <c r="B42" s="11" t="n">
        <f aca="false">$B$3+7*(A42-1)</f>
        <v>46559</v>
      </c>
      <c r="C42" s="12" t="n">
        <v>26.5</v>
      </c>
      <c r="D42" s="13"/>
      <c r="E42" s="12" t="n">
        <f aca="false">SUM($C$9:C42)</f>
        <v>901</v>
      </c>
    </row>
    <row r="43" customFormat="false" ht="15" hidden="false" customHeight="false" outlineLevel="0" collapsed="false">
      <c r="A43" s="10" t="n">
        <v>35</v>
      </c>
      <c r="B43" s="11" t="n">
        <f aca="false">$B$3+7*(A43-1)</f>
        <v>46566</v>
      </c>
      <c r="C43" s="12" t="n">
        <v>26.5</v>
      </c>
      <c r="D43" s="13"/>
      <c r="E43" s="12" t="n">
        <f aca="false">SUM($C$9:C43)</f>
        <v>927.5</v>
      </c>
    </row>
    <row r="44" customFormat="false" ht="15" hidden="false" customHeight="false" outlineLevel="0" collapsed="false">
      <c r="A44" s="10" t="n">
        <v>36</v>
      </c>
      <c r="B44" s="11" t="n">
        <f aca="false">$B$3+7*(A44-1)</f>
        <v>46573</v>
      </c>
      <c r="C44" s="12" t="n">
        <v>26.5</v>
      </c>
      <c r="D44" s="13"/>
      <c r="E44" s="12" t="n">
        <f aca="false">SUM($C$9:C44)</f>
        <v>954</v>
      </c>
    </row>
    <row r="45" customFormat="false" ht="15" hidden="false" customHeight="false" outlineLevel="0" collapsed="false">
      <c r="A45" s="10" t="n">
        <v>37</v>
      </c>
      <c r="B45" s="11" t="n">
        <f aca="false">$B$3+7*(A45-1)</f>
        <v>46580</v>
      </c>
      <c r="C45" s="12" t="n">
        <v>26.5</v>
      </c>
      <c r="D45" s="13"/>
      <c r="E45" s="12" t="n">
        <f aca="false">SUM($C$9:C45)</f>
        <v>980.5</v>
      </c>
    </row>
    <row r="46" customFormat="false" ht="15" hidden="false" customHeight="false" outlineLevel="0" collapsed="false">
      <c r="A46" s="10" t="n">
        <v>38</v>
      </c>
      <c r="B46" s="11" t="n">
        <f aca="false">$B$3+7*(A46-1)</f>
        <v>46587</v>
      </c>
      <c r="C46" s="12" t="n">
        <v>26.5</v>
      </c>
      <c r="D46" s="13"/>
      <c r="E46" s="12" t="n">
        <f aca="false">SUM($C$9:C46)</f>
        <v>1007</v>
      </c>
    </row>
    <row r="47" customFormat="false" ht="15" hidden="false" customHeight="false" outlineLevel="0" collapsed="false">
      <c r="A47" s="10" t="n">
        <v>39</v>
      </c>
      <c r="B47" s="11" t="n">
        <f aca="false">$B$3+7*(A47-1)</f>
        <v>46594</v>
      </c>
      <c r="C47" s="12" t="n">
        <v>26.5</v>
      </c>
      <c r="D47" s="13"/>
      <c r="E47" s="12" t="n">
        <f aca="false">SUM($C$9:C47)</f>
        <v>1033.5</v>
      </c>
    </row>
    <row r="48" customFormat="false" ht="15" hidden="false" customHeight="false" outlineLevel="0" collapsed="false">
      <c r="A48" s="10" t="n">
        <v>40</v>
      </c>
      <c r="B48" s="11" t="n">
        <f aca="false">$B$3+7*(A48-1)</f>
        <v>46601</v>
      </c>
      <c r="C48" s="12" t="n">
        <v>26.5</v>
      </c>
      <c r="D48" s="13"/>
      <c r="E48" s="12" t="n">
        <f aca="false">SUM($C$9:C48)</f>
        <v>1060</v>
      </c>
    </row>
    <row r="49" customFormat="false" ht="15" hidden="false" customHeight="false" outlineLevel="0" collapsed="false">
      <c r="A49" s="10" t="n">
        <v>41</v>
      </c>
      <c r="B49" s="11" t="n">
        <f aca="false">$B$3+7*(A49-1)</f>
        <v>46608</v>
      </c>
      <c r="C49" s="12" t="n">
        <v>26.5</v>
      </c>
      <c r="D49" s="13"/>
      <c r="E49" s="12" t="n">
        <f aca="false">SUM($C$9:C49)</f>
        <v>1086.5</v>
      </c>
    </row>
    <row r="50" customFormat="false" ht="15" hidden="false" customHeight="false" outlineLevel="0" collapsed="false">
      <c r="A50" s="10" t="n">
        <v>42</v>
      </c>
      <c r="B50" s="11" t="n">
        <f aca="false">$B$3+7*(A50-1)</f>
        <v>46615</v>
      </c>
      <c r="C50" s="12" t="n">
        <v>26.5</v>
      </c>
      <c r="D50" s="13"/>
      <c r="E50" s="12" t="n">
        <f aca="false">SUM($C$9:C50)</f>
        <v>1113</v>
      </c>
    </row>
    <row r="51" customFormat="false" ht="15" hidden="false" customHeight="false" outlineLevel="0" collapsed="false">
      <c r="A51" s="10" t="n">
        <v>43</v>
      </c>
      <c r="B51" s="11" t="n">
        <f aca="false">$B$3+7*(A51-1)</f>
        <v>46622</v>
      </c>
      <c r="C51" s="12" t="n">
        <v>26.5</v>
      </c>
      <c r="D51" s="13"/>
      <c r="E51" s="12" t="n">
        <f aca="false">SUM($C$9:C51)</f>
        <v>1139.5</v>
      </c>
    </row>
    <row r="52" customFormat="false" ht="15" hidden="false" customHeight="false" outlineLevel="0" collapsed="false">
      <c r="A52" s="10" t="n">
        <v>44</v>
      </c>
      <c r="B52" s="11" t="n">
        <f aca="false">$B$3+7*(A52-1)</f>
        <v>46629</v>
      </c>
      <c r="C52" s="12" t="n">
        <v>26.5</v>
      </c>
      <c r="D52" s="13"/>
      <c r="E52" s="12" t="n">
        <f aca="false">SUM($C$9:C52)</f>
        <v>1166</v>
      </c>
    </row>
    <row r="53" customFormat="false" ht="15" hidden="false" customHeight="false" outlineLevel="0" collapsed="false">
      <c r="A53" s="10" t="n">
        <v>45</v>
      </c>
      <c r="B53" s="11" t="n">
        <f aca="false">$B$3+7*(A53-1)</f>
        <v>46636</v>
      </c>
      <c r="C53" s="12" t="n">
        <v>26.5</v>
      </c>
      <c r="D53" s="13"/>
      <c r="E53" s="12" t="n">
        <f aca="false">SUM($C$9:C53)</f>
        <v>1192.5</v>
      </c>
    </row>
    <row r="54" customFormat="false" ht="15" hidden="false" customHeight="false" outlineLevel="0" collapsed="false">
      <c r="A54" s="10" t="n">
        <v>46</v>
      </c>
      <c r="B54" s="11" t="n">
        <f aca="false">$B$3+7*(A54-1)</f>
        <v>46643</v>
      </c>
      <c r="C54" s="12" t="n">
        <v>26.5</v>
      </c>
      <c r="D54" s="13"/>
      <c r="E54" s="12" t="n">
        <f aca="false">SUM($C$9:C54)</f>
        <v>1219</v>
      </c>
    </row>
    <row r="55" customFormat="false" ht="15" hidden="false" customHeight="false" outlineLevel="0" collapsed="false">
      <c r="A55" s="10" t="n">
        <v>47</v>
      </c>
      <c r="B55" s="11" t="n">
        <f aca="false">$B$3+7*(A55-1)</f>
        <v>46650</v>
      </c>
      <c r="C55" s="12" t="n">
        <v>26.5</v>
      </c>
      <c r="D55" s="13"/>
      <c r="E55" s="12" t="n">
        <f aca="false">SUM($C$9:C55)</f>
        <v>1245.5</v>
      </c>
    </row>
    <row r="56" customFormat="false" ht="15" hidden="false" customHeight="false" outlineLevel="0" collapsed="false">
      <c r="A56" s="10" t="n">
        <v>48</v>
      </c>
      <c r="B56" s="11" t="n">
        <f aca="false">$B$3+7*(A56-1)</f>
        <v>46657</v>
      </c>
      <c r="C56" s="12" t="n">
        <v>26.5</v>
      </c>
      <c r="D56" s="13"/>
      <c r="E56" s="12" t="n">
        <f aca="false">SUM($C$9:C56)</f>
        <v>1272</v>
      </c>
    </row>
    <row r="57" customFormat="false" ht="15" hidden="false" customHeight="false" outlineLevel="0" collapsed="false">
      <c r="A57" s="10" t="n">
        <v>49</v>
      </c>
      <c r="B57" s="11" t="n">
        <f aca="false">$B$3+7*(A57-1)</f>
        <v>46664</v>
      </c>
      <c r="C57" s="12" t="n">
        <v>26.5</v>
      </c>
      <c r="D57" s="13"/>
      <c r="E57" s="12" t="n">
        <f aca="false">SUM($C$9:C57)</f>
        <v>1298.5</v>
      </c>
    </row>
    <row r="58" customFormat="false" ht="15" hidden="false" customHeight="false" outlineLevel="0" collapsed="false">
      <c r="A58" s="10" t="n">
        <v>50</v>
      </c>
      <c r="B58" s="11" t="n">
        <f aca="false">$B$3+7*(A58-1)</f>
        <v>46671</v>
      </c>
      <c r="C58" s="12" t="n">
        <v>26.5</v>
      </c>
      <c r="D58" s="13"/>
      <c r="E58" s="12" t="n">
        <f aca="false">SUM($C$9:C58)</f>
        <v>1325</v>
      </c>
    </row>
    <row r="59" customFormat="false" ht="15" hidden="false" customHeight="false" outlineLevel="0" collapsed="false">
      <c r="A59" s="10" t="n">
        <v>51</v>
      </c>
      <c r="B59" s="11" t="n">
        <f aca="false">$B$3+7*(A59-1)</f>
        <v>46678</v>
      </c>
      <c r="C59" s="12" t="n">
        <v>26.5</v>
      </c>
      <c r="D59" s="13"/>
      <c r="E59" s="12" t="n">
        <f aca="false">SUM($C$9:C59)</f>
        <v>1351.5</v>
      </c>
    </row>
    <row r="60" customFormat="false" ht="15" hidden="false" customHeight="false" outlineLevel="0" collapsed="false">
      <c r="A60" s="10" t="n">
        <v>52</v>
      </c>
      <c r="B60" s="11" t="n">
        <f aca="false">$B$3+7*(A60-1)</f>
        <v>46685</v>
      </c>
      <c r="C60" s="12" t="n">
        <v>26.5</v>
      </c>
      <c r="D60" s="13"/>
      <c r="E60" s="12" t="n">
        <f aca="false">SUM($C$9:C60)</f>
        <v>1378</v>
      </c>
    </row>
  </sheetData>
  <conditionalFormatting sqref="A9:E60">
    <cfRule type="expression" priority="2" aboveAverage="0" equalAverage="0" bottom="0" percent="0" rank="0" text="" dxfId="0">
      <formula>$D9="Yes"</formula>
    </cfRule>
  </conditionalFormatting>
  <dataValidations count="1">
    <dataValidation allowBlank="true" errorStyle="stop" operator="between" showDropDown="false" showErrorMessage="false" showInputMessage="false" sqref="D9:D60" type="list">
      <formula1>"Yes"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20"/>
  </cols>
  <sheetData>
    <row r="1" customFormat="false" ht="19.7" hidden="false" customHeight="false" outlineLevel="0" collapsed="false">
      <c r="A1" s="1" t="s">
        <v>27</v>
      </c>
    </row>
    <row r="2" customFormat="false" ht="15" hidden="false" customHeight="false" outlineLevel="0" collapsed="false">
      <c r="A2" s="4" t="s">
        <v>28</v>
      </c>
    </row>
    <row r="3" customFormat="false" ht="15" hidden="false" customHeight="false" outlineLevel="0" collapsed="false">
      <c r="A3" s="5" t="s">
        <v>13</v>
      </c>
      <c r="B3" s="6" t="n">
        <v>46328</v>
      </c>
    </row>
    <row r="4" customFormat="false" ht="15" hidden="false" customHeight="false" outlineLevel="0" collapsed="false">
      <c r="A4" s="5" t="s">
        <v>14</v>
      </c>
      <c r="B4" s="7" t="n">
        <f aca="false">SUMIF(D9:D60,"Yes",C9:C60)</f>
        <v>3</v>
      </c>
    </row>
    <row r="5" customFormat="false" ht="15" hidden="false" customHeight="false" outlineLevel="0" collapsed="false">
      <c r="A5" s="5" t="s">
        <v>15</v>
      </c>
      <c r="B5" s="5" t="str">
        <f aca="false">COUNTIF(D9:D60,"Yes")&amp;" of 52"</f>
        <v>3 of 52</v>
      </c>
    </row>
    <row r="6" customFormat="false" ht="15" hidden="false" customHeight="false" outlineLevel="0" collapsed="false">
      <c r="A6" s="5" t="s">
        <v>16</v>
      </c>
      <c r="B6" s="7" t="n">
        <f aca="false">SUM(C9:C60)</f>
        <v>689</v>
      </c>
    </row>
    <row r="8" customFormat="false" ht="26.85" hidden="false" customHeight="false" outlineLevel="0" collapsed="false">
      <c r="A8" s="8" t="s">
        <v>17</v>
      </c>
      <c r="B8" s="8" t="s">
        <v>18</v>
      </c>
      <c r="C8" s="9" t="s">
        <v>19</v>
      </c>
      <c r="D8" s="8" t="s">
        <v>20</v>
      </c>
      <c r="E8" s="9" t="s">
        <v>21</v>
      </c>
    </row>
    <row r="9" customFormat="false" ht="15" hidden="false" customHeight="false" outlineLevel="0" collapsed="false">
      <c r="A9" s="10" t="n">
        <v>1</v>
      </c>
      <c r="B9" s="11" t="n">
        <f aca="false">$B$3+7*(A9-1)</f>
        <v>46328</v>
      </c>
      <c r="C9" s="12" t="n">
        <v>0.5</v>
      </c>
      <c r="D9" s="13" t="s">
        <v>22</v>
      </c>
      <c r="E9" s="12" t="n">
        <f aca="false">SUM($C$9:C9)</f>
        <v>0.5</v>
      </c>
    </row>
    <row r="10" customFormat="false" ht="15" hidden="false" customHeight="false" outlineLevel="0" collapsed="false">
      <c r="A10" s="10" t="n">
        <v>2</v>
      </c>
      <c r="B10" s="11" t="n">
        <f aca="false">$B$3+7*(A10-1)</f>
        <v>46335</v>
      </c>
      <c r="C10" s="12" t="n">
        <v>1</v>
      </c>
      <c r="D10" s="13" t="s">
        <v>22</v>
      </c>
      <c r="E10" s="12" t="n">
        <f aca="false">SUM($C$9:C10)</f>
        <v>1.5</v>
      </c>
    </row>
    <row r="11" customFormat="false" ht="15" hidden="false" customHeight="false" outlineLevel="0" collapsed="false">
      <c r="A11" s="10" t="n">
        <v>3</v>
      </c>
      <c r="B11" s="11" t="n">
        <f aca="false">$B$3+7*(A11-1)</f>
        <v>46342</v>
      </c>
      <c r="C11" s="12" t="n">
        <v>1.5</v>
      </c>
      <c r="D11" s="13" t="s">
        <v>22</v>
      </c>
      <c r="E11" s="12" t="n">
        <f aca="false">SUM($C$9:C11)</f>
        <v>3</v>
      </c>
    </row>
    <row r="12" customFormat="false" ht="15" hidden="false" customHeight="false" outlineLevel="0" collapsed="false">
      <c r="A12" s="10" t="n">
        <v>4</v>
      </c>
      <c r="B12" s="11" t="n">
        <f aca="false">$B$3+7*(A12-1)</f>
        <v>46349</v>
      </c>
      <c r="C12" s="12" t="n">
        <v>2</v>
      </c>
      <c r="D12" s="13"/>
      <c r="E12" s="12" t="n">
        <f aca="false">SUM($C$9:C12)</f>
        <v>5</v>
      </c>
    </row>
    <row r="13" customFormat="false" ht="15" hidden="false" customHeight="false" outlineLevel="0" collapsed="false">
      <c r="A13" s="10" t="n">
        <v>5</v>
      </c>
      <c r="B13" s="11" t="n">
        <f aca="false">$B$3+7*(A13-1)</f>
        <v>46356</v>
      </c>
      <c r="C13" s="12" t="n">
        <v>2.5</v>
      </c>
      <c r="D13" s="13"/>
      <c r="E13" s="12" t="n">
        <f aca="false">SUM($C$9:C13)</f>
        <v>7.5</v>
      </c>
    </row>
    <row r="14" customFormat="false" ht="15" hidden="false" customHeight="false" outlineLevel="0" collapsed="false">
      <c r="A14" s="10" t="n">
        <v>6</v>
      </c>
      <c r="B14" s="11" t="n">
        <f aca="false">$B$3+7*(A14-1)</f>
        <v>46363</v>
      </c>
      <c r="C14" s="12" t="n">
        <v>3</v>
      </c>
      <c r="D14" s="13"/>
      <c r="E14" s="12" t="n">
        <f aca="false">SUM($C$9:C14)</f>
        <v>10.5</v>
      </c>
    </row>
    <row r="15" customFormat="false" ht="15" hidden="false" customHeight="false" outlineLevel="0" collapsed="false">
      <c r="A15" s="10" t="n">
        <v>7</v>
      </c>
      <c r="B15" s="11" t="n">
        <f aca="false">$B$3+7*(A15-1)</f>
        <v>46370</v>
      </c>
      <c r="C15" s="12" t="n">
        <v>3.5</v>
      </c>
      <c r="D15" s="13"/>
      <c r="E15" s="12" t="n">
        <f aca="false">SUM($C$9:C15)</f>
        <v>14</v>
      </c>
    </row>
    <row r="16" customFormat="false" ht="15" hidden="false" customHeight="false" outlineLevel="0" collapsed="false">
      <c r="A16" s="10" t="n">
        <v>8</v>
      </c>
      <c r="B16" s="11" t="n">
        <f aca="false">$B$3+7*(A16-1)</f>
        <v>46377</v>
      </c>
      <c r="C16" s="12" t="n">
        <v>4</v>
      </c>
      <c r="D16" s="13"/>
      <c r="E16" s="12" t="n">
        <f aca="false">SUM($C$9:C16)</f>
        <v>18</v>
      </c>
    </row>
    <row r="17" customFormat="false" ht="15" hidden="false" customHeight="false" outlineLevel="0" collapsed="false">
      <c r="A17" s="10" t="n">
        <v>9</v>
      </c>
      <c r="B17" s="11" t="n">
        <f aca="false">$B$3+7*(A17-1)</f>
        <v>46384</v>
      </c>
      <c r="C17" s="12" t="n">
        <v>4.5</v>
      </c>
      <c r="D17" s="13"/>
      <c r="E17" s="12" t="n">
        <f aca="false">SUM($C$9:C17)</f>
        <v>22.5</v>
      </c>
    </row>
    <row r="18" customFormat="false" ht="15" hidden="false" customHeight="false" outlineLevel="0" collapsed="false">
      <c r="A18" s="10" t="n">
        <v>10</v>
      </c>
      <c r="B18" s="11" t="n">
        <f aca="false">$B$3+7*(A18-1)</f>
        <v>46391</v>
      </c>
      <c r="C18" s="12" t="n">
        <v>5</v>
      </c>
      <c r="D18" s="13"/>
      <c r="E18" s="12" t="n">
        <f aca="false">SUM($C$9:C18)</f>
        <v>27.5</v>
      </c>
    </row>
    <row r="19" customFormat="false" ht="15" hidden="false" customHeight="false" outlineLevel="0" collapsed="false">
      <c r="A19" s="10" t="n">
        <v>11</v>
      </c>
      <c r="B19" s="11" t="n">
        <f aca="false">$B$3+7*(A19-1)</f>
        <v>46398</v>
      </c>
      <c r="C19" s="12" t="n">
        <v>5.5</v>
      </c>
      <c r="D19" s="13"/>
      <c r="E19" s="12" t="n">
        <f aca="false">SUM($C$9:C19)</f>
        <v>33</v>
      </c>
    </row>
    <row r="20" customFormat="false" ht="15" hidden="false" customHeight="false" outlineLevel="0" collapsed="false">
      <c r="A20" s="10" t="n">
        <v>12</v>
      </c>
      <c r="B20" s="11" t="n">
        <f aca="false">$B$3+7*(A20-1)</f>
        <v>46405</v>
      </c>
      <c r="C20" s="12" t="n">
        <v>6</v>
      </c>
      <c r="D20" s="13"/>
      <c r="E20" s="12" t="n">
        <f aca="false">SUM($C$9:C20)</f>
        <v>39</v>
      </c>
    </row>
    <row r="21" customFormat="false" ht="15" hidden="false" customHeight="false" outlineLevel="0" collapsed="false">
      <c r="A21" s="10" t="n">
        <v>13</v>
      </c>
      <c r="B21" s="11" t="n">
        <f aca="false">$B$3+7*(A21-1)</f>
        <v>46412</v>
      </c>
      <c r="C21" s="12" t="n">
        <v>6.5</v>
      </c>
      <c r="D21" s="13"/>
      <c r="E21" s="12" t="n">
        <f aca="false">SUM($C$9:C21)</f>
        <v>45.5</v>
      </c>
    </row>
    <row r="22" customFormat="false" ht="15" hidden="false" customHeight="false" outlineLevel="0" collapsed="false">
      <c r="A22" s="10" t="n">
        <v>14</v>
      </c>
      <c r="B22" s="11" t="n">
        <f aca="false">$B$3+7*(A22-1)</f>
        <v>46419</v>
      </c>
      <c r="C22" s="12" t="n">
        <v>7</v>
      </c>
      <c r="D22" s="13"/>
      <c r="E22" s="12" t="n">
        <f aca="false">SUM($C$9:C22)</f>
        <v>52.5</v>
      </c>
    </row>
    <row r="23" customFormat="false" ht="15" hidden="false" customHeight="false" outlineLevel="0" collapsed="false">
      <c r="A23" s="10" t="n">
        <v>15</v>
      </c>
      <c r="B23" s="11" t="n">
        <f aca="false">$B$3+7*(A23-1)</f>
        <v>46426</v>
      </c>
      <c r="C23" s="12" t="n">
        <v>7.5</v>
      </c>
      <c r="D23" s="13"/>
      <c r="E23" s="12" t="n">
        <f aca="false">SUM($C$9:C23)</f>
        <v>60</v>
      </c>
    </row>
    <row r="24" customFormat="false" ht="15" hidden="false" customHeight="false" outlineLevel="0" collapsed="false">
      <c r="A24" s="10" t="n">
        <v>16</v>
      </c>
      <c r="B24" s="11" t="n">
        <f aca="false">$B$3+7*(A24-1)</f>
        <v>46433</v>
      </c>
      <c r="C24" s="12" t="n">
        <v>8</v>
      </c>
      <c r="D24" s="13"/>
      <c r="E24" s="12" t="n">
        <f aca="false">SUM($C$9:C24)</f>
        <v>68</v>
      </c>
    </row>
    <row r="25" customFormat="false" ht="15" hidden="false" customHeight="false" outlineLevel="0" collapsed="false">
      <c r="A25" s="10" t="n">
        <v>17</v>
      </c>
      <c r="B25" s="11" t="n">
        <f aca="false">$B$3+7*(A25-1)</f>
        <v>46440</v>
      </c>
      <c r="C25" s="12" t="n">
        <v>8.5</v>
      </c>
      <c r="D25" s="13"/>
      <c r="E25" s="12" t="n">
        <f aca="false">SUM($C$9:C25)</f>
        <v>76.5</v>
      </c>
    </row>
    <row r="26" customFormat="false" ht="15" hidden="false" customHeight="false" outlineLevel="0" collapsed="false">
      <c r="A26" s="10" t="n">
        <v>18</v>
      </c>
      <c r="B26" s="11" t="n">
        <f aca="false">$B$3+7*(A26-1)</f>
        <v>46447</v>
      </c>
      <c r="C26" s="12" t="n">
        <v>9</v>
      </c>
      <c r="D26" s="13"/>
      <c r="E26" s="12" t="n">
        <f aca="false">SUM($C$9:C26)</f>
        <v>85.5</v>
      </c>
    </row>
    <row r="27" customFormat="false" ht="15" hidden="false" customHeight="false" outlineLevel="0" collapsed="false">
      <c r="A27" s="10" t="n">
        <v>19</v>
      </c>
      <c r="B27" s="11" t="n">
        <f aca="false">$B$3+7*(A27-1)</f>
        <v>46454</v>
      </c>
      <c r="C27" s="12" t="n">
        <v>9.5</v>
      </c>
      <c r="D27" s="13"/>
      <c r="E27" s="12" t="n">
        <f aca="false">SUM($C$9:C27)</f>
        <v>95</v>
      </c>
    </row>
    <row r="28" customFormat="false" ht="15" hidden="false" customHeight="false" outlineLevel="0" collapsed="false">
      <c r="A28" s="10" t="n">
        <v>20</v>
      </c>
      <c r="B28" s="11" t="n">
        <f aca="false">$B$3+7*(A28-1)</f>
        <v>46461</v>
      </c>
      <c r="C28" s="12" t="n">
        <v>10</v>
      </c>
      <c r="D28" s="13"/>
      <c r="E28" s="12" t="n">
        <f aca="false">SUM($C$9:C28)</f>
        <v>105</v>
      </c>
    </row>
    <row r="29" customFormat="false" ht="15" hidden="false" customHeight="false" outlineLevel="0" collapsed="false">
      <c r="A29" s="10" t="n">
        <v>21</v>
      </c>
      <c r="B29" s="11" t="n">
        <f aca="false">$B$3+7*(A29-1)</f>
        <v>46468</v>
      </c>
      <c r="C29" s="12" t="n">
        <v>10.5</v>
      </c>
      <c r="D29" s="13"/>
      <c r="E29" s="12" t="n">
        <f aca="false">SUM($C$9:C29)</f>
        <v>115.5</v>
      </c>
    </row>
    <row r="30" customFormat="false" ht="15" hidden="false" customHeight="false" outlineLevel="0" collapsed="false">
      <c r="A30" s="10" t="n">
        <v>22</v>
      </c>
      <c r="B30" s="11" t="n">
        <f aca="false">$B$3+7*(A30-1)</f>
        <v>46475</v>
      </c>
      <c r="C30" s="12" t="n">
        <v>11</v>
      </c>
      <c r="D30" s="13"/>
      <c r="E30" s="12" t="n">
        <f aca="false">SUM($C$9:C30)</f>
        <v>126.5</v>
      </c>
    </row>
    <row r="31" customFormat="false" ht="15" hidden="false" customHeight="false" outlineLevel="0" collapsed="false">
      <c r="A31" s="10" t="n">
        <v>23</v>
      </c>
      <c r="B31" s="11" t="n">
        <f aca="false">$B$3+7*(A31-1)</f>
        <v>46482</v>
      </c>
      <c r="C31" s="12" t="n">
        <v>11.5</v>
      </c>
      <c r="D31" s="13"/>
      <c r="E31" s="12" t="n">
        <f aca="false">SUM($C$9:C31)</f>
        <v>138</v>
      </c>
    </row>
    <row r="32" customFormat="false" ht="15" hidden="false" customHeight="false" outlineLevel="0" collapsed="false">
      <c r="A32" s="10" t="n">
        <v>24</v>
      </c>
      <c r="B32" s="11" t="n">
        <f aca="false">$B$3+7*(A32-1)</f>
        <v>46489</v>
      </c>
      <c r="C32" s="12" t="n">
        <v>12</v>
      </c>
      <c r="D32" s="13"/>
      <c r="E32" s="12" t="n">
        <f aca="false">SUM($C$9:C32)</f>
        <v>150</v>
      </c>
    </row>
    <row r="33" customFormat="false" ht="15" hidden="false" customHeight="false" outlineLevel="0" collapsed="false">
      <c r="A33" s="10" t="n">
        <v>25</v>
      </c>
      <c r="B33" s="11" t="n">
        <f aca="false">$B$3+7*(A33-1)</f>
        <v>46496</v>
      </c>
      <c r="C33" s="12" t="n">
        <v>12.5</v>
      </c>
      <c r="D33" s="13"/>
      <c r="E33" s="12" t="n">
        <f aca="false">SUM($C$9:C33)</f>
        <v>162.5</v>
      </c>
    </row>
    <row r="34" customFormat="false" ht="15" hidden="false" customHeight="false" outlineLevel="0" collapsed="false">
      <c r="A34" s="10" t="n">
        <v>26</v>
      </c>
      <c r="B34" s="11" t="n">
        <f aca="false">$B$3+7*(A34-1)</f>
        <v>46503</v>
      </c>
      <c r="C34" s="12" t="n">
        <v>13</v>
      </c>
      <c r="D34" s="13"/>
      <c r="E34" s="12" t="n">
        <f aca="false">SUM($C$9:C34)</f>
        <v>175.5</v>
      </c>
    </row>
    <row r="35" customFormat="false" ht="15" hidden="false" customHeight="false" outlineLevel="0" collapsed="false">
      <c r="A35" s="10" t="n">
        <v>27</v>
      </c>
      <c r="B35" s="11" t="n">
        <f aca="false">$B$3+7*(A35-1)</f>
        <v>46510</v>
      </c>
      <c r="C35" s="12" t="n">
        <v>13.5</v>
      </c>
      <c r="D35" s="13"/>
      <c r="E35" s="12" t="n">
        <f aca="false">SUM($C$9:C35)</f>
        <v>189</v>
      </c>
    </row>
    <row r="36" customFormat="false" ht="15" hidden="false" customHeight="false" outlineLevel="0" collapsed="false">
      <c r="A36" s="10" t="n">
        <v>28</v>
      </c>
      <c r="B36" s="11" t="n">
        <f aca="false">$B$3+7*(A36-1)</f>
        <v>46517</v>
      </c>
      <c r="C36" s="12" t="n">
        <v>14</v>
      </c>
      <c r="D36" s="13"/>
      <c r="E36" s="12" t="n">
        <f aca="false">SUM($C$9:C36)</f>
        <v>203</v>
      </c>
    </row>
    <row r="37" customFormat="false" ht="15" hidden="false" customHeight="false" outlineLevel="0" collapsed="false">
      <c r="A37" s="10" t="n">
        <v>29</v>
      </c>
      <c r="B37" s="11" t="n">
        <f aca="false">$B$3+7*(A37-1)</f>
        <v>46524</v>
      </c>
      <c r="C37" s="12" t="n">
        <v>14.5</v>
      </c>
      <c r="D37" s="13"/>
      <c r="E37" s="12" t="n">
        <f aca="false">SUM($C$9:C37)</f>
        <v>217.5</v>
      </c>
    </row>
    <row r="38" customFormat="false" ht="15" hidden="false" customHeight="false" outlineLevel="0" collapsed="false">
      <c r="A38" s="10" t="n">
        <v>30</v>
      </c>
      <c r="B38" s="11" t="n">
        <f aca="false">$B$3+7*(A38-1)</f>
        <v>46531</v>
      </c>
      <c r="C38" s="12" t="n">
        <v>15</v>
      </c>
      <c r="D38" s="13"/>
      <c r="E38" s="12" t="n">
        <f aca="false">SUM($C$9:C38)</f>
        <v>232.5</v>
      </c>
    </row>
    <row r="39" customFormat="false" ht="15" hidden="false" customHeight="false" outlineLevel="0" collapsed="false">
      <c r="A39" s="10" t="n">
        <v>31</v>
      </c>
      <c r="B39" s="11" t="n">
        <f aca="false">$B$3+7*(A39-1)</f>
        <v>46538</v>
      </c>
      <c r="C39" s="12" t="n">
        <v>15.5</v>
      </c>
      <c r="D39" s="13"/>
      <c r="E39" s="12" t="n">
        <f aca="false">SUM($C$9:C39)</f>
        <v>248</v>
      </c>
    </row>
    <row r="40" customFormat="false" ht="15" hidden="false" customHeight="false" outlineLevel="0" collapsed="false">
      <c r="A40" s="10" t="n">
        <v>32</v>
      </c>
      <c r="B40" s="11" t="n">
        <f aca="false">$B$3+7*(A40-1)</f>
        <v>46545</v>
      </c>
      <c r="C40" s="12" t="n">
        <v>16</v>
      </c>
      <c r="D40" s="13"/>
      <c r="E40" s="12" t="n">
        <f aca="false">SUM($C$9:C40)</f>
        <v>264</v>
      </c>
    </row>
    <row r="41" customFormat="false" ht="15" hidden="false" customHeight="false" outlineLevel="0" collapsed="false">
      <c r="A41" s="10" t="n">
        <v>33</v>
      </c>
      <c r="B41" s="11" t="n">
        <f aca="false">$B$3+7*(A41-1)</f>
        <v>46552</v>
      </c>
      <c r="C41" s="12" t="n">
        <v>16.5</v>
      </c>
      <c r="D41" s="13"/>
      <c r="E41" s="12" t="n">
        <f aca="false">SUM($C$9:C41)</f>
        <v>280.5</v>
      </c>
    </row>
    <row r="42" customFormat="false" ht="15" hidden="false" customHeight="false" outlineLevel="0" collapsed="false">
      <c r="A42" s="10" t="n">
        <v>34</v>
      </c>
      <c r="B42" s="11" t="n">
        <f aca="false">$B$3+7*(A42-1)</f>
        <v>46559</v>
      </c>
      <c r="C42" s="12" t="n">
        <v>17</v>
      </c>
      <c r="D42" s="13"/>
      <c r="E42" s="12" t="n">
        <f aca="false">SUM($C$9:C42)</f>
        <v>297.5</v>
      </c>
    </row>
    <row r="43" customFormat="false" ht="15" hidden="false" customHeight="false" outlineLevel="0" collapsed="false">
      <c r="A43" s="10" t="n">
        <v>35</v>
      </c>
      <c r="B43" s="11" t="n">
        <f aca="false">$B$3+7*(A43-1)</f>
        <v>46566</v>
      </c>
      <c r="C43" s="12" t="n">
        <v>17.5</v>
      </c>
      <c r="D43" s="13"/>
      <c r="E43" s="12" t="n">
        <f aca="false">SUM($C$9:C43)</f>
        <v>315</v>
      </c>
    </row>
    <row r="44" customFormat="false" ht="15" hidden="false" customHeight="false" outlineLevel="0" collapsed="false">
      <c r="A44" s="10" t="n">
        <v>36</v>
      </c>
      <c r="B44" s="11" t="n">
        <f aca="false">$B$3+7*(A44-1)</f>
        <v>46573</v>
      </c>
      <c r="C44" s="12" t="n">
        <v>18</v>
      </c>
      <c r="D44" s="13"/>
      <c r="E44" s="12" t="n">
        <f aca="false">SUM($C$9:C44)</f>
        <v>333</v>
      </c>
    </row>
    <row r="45" customFormat="false" ht="15" hidden="false" customHeight="false" outlineLevel="0" collapsed="false">
      <c r="A45" s="10" t="n">
        <v>37</v>
      </c>
      <c r="B45" s="11" t="n">
        <f aca="false">$B$3+7*(A45-1)</f>
        <v>46580</v>
      </c>
      <c r="C45" s="12" t="n">
        <v>18.5</v>
      </c>
      <c r="D45" s="13"/>
      <c r="E45" s="12" t="n">
        <f aca="false">SUM($C$9:C45)</f>
        <v>351.5</v>
      </c>
    </row>
    <row r="46" customFormat="false" ht="15" hidden="false" customHeight="false" outlineLevel="0" collapsed="false">
      <c r="A46" s="10" t="n">
        <v>38</v>
      </c>
      <c r="B46" s="11" t="n">
        <f aca="false">$B$3+7*(A46-1)</f>
        <v>46587</v>
      </c>
      <c r="C46" s="12" t="n">
        <v>19</v>
      </c>
      <c r="D46" s="13"/>
      <c r="E46" s="12" t="n">
        <f aca="false">SUM($C$9:C46)</f>
        <v>370.5</v>
      </c>
    </row>
    <row r="47" customFormat="false" ht="15" hidden="false" customHeight="false" outlineLevel="0" collapsed="false">
      <c r="A47" s="10" t="n">
        <v>39</v>
      </c>
      <c r="B47" s="11" t="n">
        <f aca="false">$B$3+7*(A47-1)</f>
        <v>46594</v>
      </c>
      <c r="C47" s="12" t="n">
        <v>19.5</v>
      </c>
      <c r="D47" s="13"/>
      <c r="E47" s="12" t="n">
        <f aca="false">SUM($C$9:C47)</f>
        <v>390</v>
      </c>
    </row>
    <row r="48" customFormat="false" ht="15" hidden="false" customHeight="false" outlineLevel="0" collapsed="false">
      <c r="A48" s="10" t="n">
        <v>40</v>
      </c>
      <c r="B48" s="11" t="n">
        <f aca="false">$B$3+7*(A48-1)</f>
        <v>46601</v>
      </c>
      <c r="C48" s="12" t="n">
        <v>20</v>
      </c>
      <c r="D48" s="13"/>
      <c r="E48" s="12" t="n">
        <f aca="false">SUM($C$9:C48)</f>
        <v>410</v>
      </c>
    </row>
    <row r="49" customFormat="false" ht="15" hidden="false" customHeight="false" outlineLevel="0" collapsed="false">
      <c r="A49" s="10" t="n">
        <v>41</v>
      </c>
      <c r="B49" s="11" t="n">
        <f aca="false">$B$3+7*(A49-1)</f>
        <v>46608</v>
      </c>
      <c r="C49" s="12" t="n">
        <v>20.5</v>
      </c>
      <c r="D49" s="13"/>
      <c r="E49" s="12" t="n">
        <f aca="false">SUM($C$9:C49)</f>
        <v>430.5</v>
      </c>
    </row>
    <row r="50" customFormat="false" ht="15" hidden="false" customHeight="false" outlineLevel="0" collapsed="false">
      <c r="A50" s="10" t="n">
        <v>42</v>
      </c>
      <c r="B50" s="11" t="n">
        <f aca="false">$B$3+7*(A50-1)</f>
        <v>46615</v>
      </c>
      <c r="C50" s="12" t="n">
        <v>21</v>
      </c>
      <c r="D50" s="13"/>
      <c r="E50" s="12" t="n">
        <f aca="false">SUM($C$9:C50)</f>
        <v>451.5</v>
      </c>
    </row>
    <row r="51" customFormat="false" ht="15" hidden="false" customHeight="false" outlineLevel="0" collapsed="false">
      <c r="A51" s="10" t="n">
        <v>43</v>
      </c>
      <c r="B51" s="11" t="n">
        <f aca="false">$B$3+7*(A51-1)</f>
        <v>46622</v>
      </c>
      <c r="C51" s="12" t="n">
        <v>21.5</v>
      </c>
      <c r="D51" s="13"/>
      <c r="E51" s="12" t="n">
        <f aca="false">SUM($C$9:C51)</f>
        <v>473</v>
      </c>
    </row>
    <row r="52" customFormat="false" ht="15" hidden="false" customHeight="false" outlineLevel="0" collapsed="false">
      <c r="A52" s="10" t="n">
        <v>44</v>
      </c>
      <c r="B52" s="11" t="n">
        <f aca="false">$B$3+7*(A52-1)</f>
        <v>46629</v>
      </c>
      <c r="C52" s="12" t="n">
        <v>22</v>
      </c>
      <c r="D52" s="13"/>
      <c r="E52" s="12" t="n">
        <f aca="false">SUM($C$9:C52)</f>
        <v>495</v>
      </c>
    </row>
    <row r="53" customFormat="false" ht="15" hidden="false" customHeight="false" outlineLevel="0" collapsed="false">
      <c r="A53" s="10" t="n">
        <v>45</v>
      </c>
      <c r="B53" s="11" t="n">
        <f aca="false">$B$3+7*(A53-1)</f>
        <v>46636</v>
      </c>
      <c r="C53" s="12" t="n">
        <v>22.5</v>
      </c>
      <c r="D53" s="13"/>
      <c r="E53" s="12" t="n">
        <f aca="false">SUM($C$9:C53)</f>
        <v>517.5</v>
      </c>
    </row>
    <row r="54" customFormat="false" ht="15" hidden="false" customHeight="false" outlineLevel="0" collapsed="false">
      <c r="A54" s="10" t="n">
        <v>46</v>
      </c>
      <c r="B54" s="11" t="n">
        <f aca="false">$B$3+7*(A54-1)</f>
        <v>46643</v>
      </c>
      <c r="C54" s="12" t="n">
        <v>23</v>
      </c>
      <c r="D54" s="13"/>
      <c r="E54" s="12" t="n">
        <f aca="false">SUM($C$9:C54)</f>
        <v>540.5</v>
      </c>
    </row>
    <row r="55" customFormat="false" ht="15" hidden="false" customHeight="false" outlineLevel="0" collapsed="false">
      <c r="A55" s="10" t="n">
        <v>47</v>
      </c>
      <c r="B55" s="11" t="n">
        <f aca="false">$B$3+7*(A55-1)</f>
        <v>46650</v>
      </c>
      <c r="C55" s="12" t="n">
        <v>23.5</v>
      </c>
      <c r="D55" s="13"/>
      <c r="E55" s="12" t="n">
        <f aca="false">SUM($C$9:C55)</f>
        <v>564</v>
      </c>
    </row>
    <row r="56" customFormat="false" ht="15" hidden="false" customHeight="false" outlineLevel="0" collapsed="false">
      <c r="A56" s="10" t="n">
        <v>48</v>
      </c>
      <c r="B56" s="11" t="n">
        <f aca="false">$B$3+7*(A56-1)</f>
        <v>46657</v>
      </c>
      <c r="C56" s="12" t="n">
        <v>24</v>
      </c>
      <c r="D56" s="13"/>
      <c r="E56" s="12" t="n">
        <f aca="false">SUM($C$9:C56)</f>
        <v>588</v>
      </c>
    </row>
    <row r="57" customFormat="false" ht="15" hidden="false" customHeight="false" outlineLevel="0" collapsed="false">
      <c r="A57" s="10" t="n">
        <v>49</v>
      </c>
      <c r="B57" s="11" t="n">
        <f aca="false">$B$3+7*(A57-1)</f>
        <v>46664</v>
      </c>
      <c r="C57" s="12" t="n">
        <v>24.5</v>
      </c>
      <c r="D57" s="13"/>
      <c r="E57" s="12" t="n">
        <f aca="false">SUM($C$9:C57)</f>
        <v>612.5</v>
      </c>
    </row>
    <row r="58" customFormat="false" ht="15" hidden="false" customHeight="false" outlineLevel="0" collapsed="false">
      <c r="A58" s="10" t="n">
        <v>50</v>
      </c>
      <c r="B58" s="11" t="n">
        <f aca="false">$B$3+7*(A58-1)</f>
        <v>46671</v>
      </c>
      <c r="C58" s="12" t="n">
        <v>25</v>
      </c>
      <c r="D58" s="13"/>
      <c r="E58" s="12" t="n">
        <f aca="false">SUM($C$9:C58)</f>
        <v>637.5</v>
      </c>
    </row>
    <row r="59" customFormat="false" ht="15" hidden="false" customHeight="false" outlineLevel="0" collapsed="false">
      <c r="A59" s="10" t="n">
        <v>51</v>
      </c>
      <c r="B59" s="11" t="n">
        <f aca="false">$B$3+7*(A59-1)</f>
        <v>46678</v>
      </c>
      <c r="C59" s="12" t="n">
        <v>25.5</v>
      </c>
      <c r="D59" s="13"/>
      <c r="E59" s="12" t="n">
        <f aca="false">SUM($C$9:C59)</f>
        <v>663</v>
      </c>
    </row>
    <row r="60" customFormat="false" ht="15" hidden="false" customHeight="false" outlineLevel="0" collapsed="false">
      <c r="A60" s="10" t="n">
        <v>52</v>
      </c>
      <c r="B60" s="11" t="n">
        <f aca="false">$B$3+7*(A60-1)</f>
        <v>46685</v>
      </c>
      <c r="C60" s="12" t="n">
        <v>26</v>
      </c>
      <c r="D60" s="13"/>
      <c r="E60" s="12" t="n">
        <f aca="false">SUM($C$9:C60)</f>
        <v>689</v>
      </c>
    </row>
  </sheetData>
  <conditionalFormatting sqref="A9:E60">
    <cfRule type="expression" priority="2" aboveAverage="0" equalAverage="0" bottom="0" percent="0" rank="0" text="" dxfId="0">
      <formula>$D9="Yes"</formula>
    </cfRule>
  </conditionalFormatting>
  <dataValidations count="1">
    <dataValidation allowBlank="true" errorStyle="stop" operator="between" showDropDown="false" showErrorMessage="false" showInputMessage="false" sqref="D9:D60" type="list">
      <formula1>"Yes"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4"/>
  </cols>
  <sheetData>
    <row r="1" customFormat="false" ht="19.7" hidden="false" customHeight="false" outlineLevel="0" collapsed="false">
      <c r="A1" s="1" t="s">
        <v>29</v>
      </c>
    </row>
    <row r="2" customFormat="false" ht="15" hidden="false" customHeight="false" outlineLevel="0" collapsed="false">
      <c r="A2" s="4" t="s">
        <v>30</v>
      </c>
    </row>
    <row r="3" customFormat="false" ht="15" hidden="false" customHeight="false" outlineLevel="0" collapsed="false">
      <c r="A3" s="5" t="s">
        <v>14</v>
      </c>
      <c r="B3" s="7" t="n">
        <f aca="false">SUMIF(B9:B60,"Yes",A9:A60)</f>
        <v>37</v>
      </c>
    </row>
    <row r="4" customFormat="false" ht="15" hidden="false" customHeight="false" outlineLevel="0" collapsed="false">
      <c r="A4" s="5" t="s">
        <v>31</v>
      </c>
      <c r="B4" s="5" t="str">
        <f aca="false">COUNTIF(B9:B60,"Yes")&amp;" of 52"</f>
        <v>3 of 52</v>
      </c>
    </row>
    <row r="5" customFormat="false" ht="15" hidden="false" customHeight="false" outlineLevel="0" collapsed="false">
      <c r="A5" s="5" t="s">
        <v>32</v>
      </c>
      <c r="B5" s="7" t="n">
        <f aca="false">1378-B3</f>
        <v>1341</v>
      </c>
    </row>
    <row r="8" customFormat="false" ht="15" hidden="false" customHeight="false" outlineLevel="0" collapsed="false">
      <c r="A8" s="9" t="s">
        <v>33</v>
      </c>
      <c r="B8" s="8" t="s">
        <v>34</v>
      </c>
      <c r="C8" s="8" t="s">
        <v>35</v>
      </c>
    </row>
    <row r="9" customFormat="false" ht="15" hidden="false" customHeight="false" outlineLevel="0" collapsed="false">
      <c r="A9" s="14" t="n">
        <v>1</v>
      </c>
      <c r="B9" s="13"/>
      <c r="C9" s="15"/>
    </row>
    <row r="10" customFormat="false" ht="15" hidden="false" customHeight="false" outlineLevel="0" collapsed="false">
      <c r="A10" s="14" t="n">
        <v>2</v>
      </c>
      <c r="B10" s="13"/>
      <c r="C10" s="15"/>
    </row>
    <row r="11" customFormat="false" ht="15" hidden="false" customHeight="false" outlineLevel="0" collapsed="false">
      <c r="A11" s="14" t="n">
        <v>3</v>
      </c>
      <c r="B11" s="13"/>
      <c r="C11" s="15"/>
    </row>
    <row r="12" customFormat="false" ht="15" hidden="false" customHeight="false" outlineLevel="0" collapsed="false">
      <c r="A12" s="14" t="n">
        <v>4</v>
      </c>
      <c r="B12" s="13"/>
      <c r="C12" s="15"/>
    </row>
    <row r="13" customFormat="false" ht="15" hidden="false" customHeight="false" outlineLevel="0" collapsed="false">
      <c r="A13" s="14" t="n">
        <v>5</v>
      </c>
      <c r="B13" s="13" t="s">
        <v>22</v>
      </c>
      <c r="C13" s="15"/>
    </row>
    <row r="14" customFormat="false" ht="15" hidden="false" customHeight="false" outlineLevel="0" collapsed="false">
      <c r="A14" s="14" t="n">
        <v>6</v>
      </c>
      <c r="B14" s="13"/>
      <c r="C14" s="15"/>
    </row>
    <row r="15" customFormat="false" ht="15" hidden="false" customHeight="false" outlineLevel="0" collapsed="false">
      <c r="A15" s="14" t="n">
        <v>7</v>
      </c>
      <c r="B15" s="13"/>
      <c r="C15" s="15"/>
    </row>
    <row r="16" customFormat="false" ht="15" hidden="false" customHeight="false" outlineLevel="0" collapsed="false">
      <c r="A16" s="14" t="n">
        <v>8</v>
      </c>
      <c r="B16" s="13"/>
      <c r="C16" s="15"/>
    </row>
    <row r="17" customFormat="false" ht="15" hidden="false" customHeight="false" outlineLevel="0" collapsed="false">
      <c r="A17" s="14" t="n">
        <v>9</v>
      </c>
      <c r="B17" s="13"/>
      <c r="C17" s="15"/>
    </row>
    <row r="18" customFormat="false" ht="15" hidden="false" customHeight="false" outlineLevel="0" collapsed="false">
      <c r="A18" s="14" t="n">
        <v>10</v>
      </c>
      <c r="B18" s="13"/>
      <c r="C18" s="15"/>
    </row>
    <row r="19" customFormat="false" ht="15" hidden="false" customHeight="false" outlineLevel="0" collapsed="false">
      <c r="A19" s="14" t="n">
        <v>11</v>
      </c>
      <c r="B19" s="13"/>
      <c r="C19" s="15"/>
    </row>
    <row r="20" customFormat="false" ht="15" hidden="false" customHeight="false" outlineLevel="0" collapsed="false">
      <c r="A20" s="14" t="n">
        <v>12</v>
      </c>
      <c r="B20" s="13" t="s">
        <v>22</v>
      </c>
      <c r="C20" s="15"/>
    </row>
    <row r="21" customFormat="false" ht="15" hidden="false" customHeight="false" outlineLevel="0" collapsed="false">
      <c r="A21" s="14" t="n">
        <v>13</v>
      </c>
      <c r="B21" s="13"/>
      <c r="C21" s="15"/>
    </row>
    <row r="22" customFormat="false" ht="15" hidden="false" customHeight="false" outlineLevel="0" collapsed="false">
      <c r="A22" s="14" t="n">
        <v>14</v>
      </c>
      <c r="B22" s="13"/>
      <c r="C22" s="15"/>
    </row>
    <row r="23" customFormat="false" ht="15" hidden="false" customHeight="false" outlineLevel="0" collapsed="false">
      <c r="A23" s="14" t="n">
        <v>15</v>
      </c>
      <c r="B23" s="13"/>
      <c r="C23" s="15"/>
    </row>
    <row r="24" customFormat="false" ht="15" hidden="false" customHeight="false" outlineLevel="0" collapsed="false">
      <c r="A24" s="14" t="n">
        <v>16</v>
      </c>
      <c r="B24" s="13"/>
      <c r="C24" s="15"/>
    </row>
    <row r="25" customFormat="false" ht="15" hidden="false" customHeight="false" outlineLevel="0" collapsed="false">
      <c r="A25" s="14" t="n">
        <v>17</v>
      </c>
      <c r="B25" s="13"/>
      <c r="C25" s="15"/>
    </row>
    <row r="26" customFormat="false" ht="15" hidden="false" customHeight="false" outlineLevel="0" collapsed="false">
      <c r="A26" s="14" t="n">
        <v>18</v>
      </c>
      <c r="B26" s="13"/>
      <c r="C26" s="15"/>
    </row>
    <row r="27" customFormat="false" ht="15" hidden="false" customHeight="false" outlineLevel="0" collapsed="false">
      <c r="A27" s="14" t="n">
        <v>19</v>
      </c>
      <c r="B27" s="13"/>
      <c r="C27" s="15"/>
    </row>
    <row r="28" customFormat="false" ht="15" hidden="false" customHeight="false" outlineLevel="0" collapsed="false">
      <c r="A28" s="14" t="n">
        <v>20</v>
      </c>
      <c r="B28" s="13" t="s">
        <v>22</v>
      </c>
      <c r="C28" s="15"/>
    </row>
    <row r="29" customFormat="false" ht="15" hidden="false" customHeight="false" outlineLevel="0" collapsed="false">
      <c r="A29" s="14" t="n">
        <v>21</v>
      </c>
      <c r="B29" s="13"/>
      <c r="C29" s="15"/>
    </row>
    <row r="30" customFormat="false" ht="15" hidden="false" customHeight="false" outlineLevel="0" collapsed="false">
      <c r="A30" s="14" t="n">
        <v>22</v>
      </c>
      <c r="B30" s="13"/>
      <c r="C30" s="15"/>
    </row>
    <row r="31" customFormat="false" ht="15" hidden="false" customHeight="false" outlineLevel="0" collapsed="false">
      <c r="A31" s="14" t="n">
        <v>23</v>
      </c>
      <c r="B31" s="13"/>
      <c r="C31" s="15"/>
    </row>
    <row r="32" customFormat="false" ht="15" hidden="false" customHeight="false" outlineLevel="0" collapsed="false">
      <c r="A32" s="14" t="n">
        <v>24</v>
      </c>
      <c r="B32" s="13"/>
      <c r="C32" s="15"/>
    </row>
    <row r="33" customFormat="false" ht="15" hidden="false" customHeight="false" outlineLevel="0" collapsed="false">
      <c r="A33" s="14" t="n">
        <v>25</v>
      </c>
      <c r="B33" s="13"/>
      <c r="C33" s="15"/>
    </row>
    <row r="34" customFormat="false" ht="15" hidden="false" customHeight="false" outlineLevel="0" collapsed="false">
      <c r="A34" s="14" t="n">
        <v>26</v>
      </c>
      <c r="B34" s="13"/>
      <c r="C34" s="15"/>
    </row>
    <row r="35" customFormat="false" ht="15" hidden="false" customHeight="false" outlineLevel="0" collapsed="false">
      <c r="A35" s="14" t="n">
        <v>27</v>
      </c>
      <c r="B35" s="13"/>
      <c r="C35" s="15"/>
    </row>
    <row r="36" customFormat="false" ht="15" hidden="false" customHeight="false" outlineLevel="0" collapsed="false">
      <c r="A36" s="14" t="n">
        <v>28</v>
      </c>
      <c r="B36" s="13"/>
      <c r="C36" s="15"/>
    </row>
    <row r="37" customFormat="false" ht="15" hidden="false" customHeight="false" outlineLevel="0" collapsed="false">
      <c r="A37" s="14" t="n">
        <v>29</v>
      </c>
      <c r="B37" s="13"/>
      <c r="C37" s="15"/>
    </row>
    <row r="38" customFormat="false" ht="15" hidden="false" customHeight="false" outlineLevel="0" collapsed="false">
      <c r="A38" s="14" t="n">
        <v>30</v>
      </c>
      <c r="B38" s="13"/>
      <c r="C38" s="15"/>
    </row>
    <row r="39" customFormat="false" ht="15" hidden="false" customHeight="false" outlineLevel="0" collapsed="false">
      <c r="A39" s="14" t="n">
        <v>31</v>
      </c>
      <c r="B39" s="13"/>
      <c r="C39" s="15"/>
    </row>
    <row r="40" customFormat="false" ht="15" hidden="false" customHeight="false" outlineLevel="0" collapsed="false">
      <c r="A40" s="14" t="n">
        <v>32</v>
      </c>
      <c r="B40" s="13"/>
      <c r="C40" s="15"/>
    </row>
    <row r="41" customFormat="false" ht="15" hidden="false" customHeight="false" outlineLevel="0" collapsed="false">
      <c r="A41" s="14" t="n">
        <v>33</v>
      </c>
      <c r="B41" s="13"/>
      <c r="C41" s="15"/>
    </row>
    <row r="42" customFormat="false" ht="15" hidden="false" customHeight="false" outlineLevel="0" collapsed="false">
      <c r="A42" s="14" t="n">
        <v>34</v>
      </c>
      <c r="B42" s="13"/>
      <c r="C42" s="15"/>
    </row>
    <row r="43" customFormat="false" ht="15" hidden="false" customHeight="false" outlineLevel="0" collapsed="false">
      <c r="A43" s="14" t="n">
        <v>35</v>
      </c>
      <c r="B43" s="13"/>
      <c r="C43" s="15"/>
    </row>
    <row r="44" customFormat="false" ht="15" hidden="false" customHeight="false" outlineLevel="0" collapsed="false">
      <c r="A44" s="14" t="n">
        <v>36</v>
      </c>
      <c r="B44" s="13"/>
      <c r="C44" s="15"/>
    </row>
    <row r="45" customFormat="false" ht="15" hidden="false" customHeight="false" outlineLevel="0" collapsed="false">
      <c r="A45" s="14" t="n">
        <v>37</v>
      </c>
      <c r="B45" s="13"/>
      <c r="C45" s="15"/>
    </row>
    <row r="46" customFormat="false" ht="15" hidden="false" customHeight="false" outlineLevel="0" collapsed="false">
      <c r="A46" s="14" t="n">
        <v>38</v>
      </c>
      <c r="B46" s="13"/>
      <c r="C46" s="15"/>
    </row>
    <row r="47" customFormat="false" ht="15" hidden="false" customHeight="false" outlineLevel="0" collapsed="false">
      <c r="A47" s="14" t="n">
        <v>39</v>
      </c>
      <c r="B47" s="13"/>
      <c r="C47" s="15"/>
    </row>
    <row r="48" customFormat="false" ht="15" hidden="false" customHeight="false" outlineLevel="0" collapsed="false">
      <c r="A48" s="14" t="n">
        <v>40</v>
      </c>
      <c r="B48" s="13"/>
      <c r="C48" s="15"/>
    </row>
    <row r="49" customFormat="false" ht="15" hidden="false" customHeight="false" outlineLevel="0" collapsed="false">
      <c r="A49" s="14" t="n">
        <v>41</v>
      </c>
      <c r="B49" s="13"/>
      <c r="C49" s="15"/>
    </row>
    <row r="50" customFormat="false" ht="15" hidden="false" customHeight="false" outlineLevel="0" collapsed="false">
      <c r="A50" s="14" t="n">
        <v>42</v>
      </c>
      <c r="B50" s="13"/>
      <c r="C50" s="15"/>
    </row>
    <row r="51" customFormat="false" ht="15" hidden="false" customHeight="false" outlineLevel="0" collapsed="false">
      <c r="A51" s="14" t="n">
        <v>43</v>
      </c>
      <c r="B51" s="13"/>
      <c r="C51" s="15"/>
    </row>
    <row r="52" customFormat="false" ht="15" hidden="false" customHeight="false" outlineLevel="0" collapsed="false">
      <c r="A52" s="14" t="n">
        <v>44</v>
      </c>
      <c r="B52" s="13"/>
      <c r="C52" s="15"/>
    </row>
    <row r="53" customFormat="false" ht="15" hidden="false" customHeight="false" outlineLevel="0" collapsed="false">
      <c r="A53" s="14" t="n">
        <v>45</v>
      </c>
      <c r="B53" s="13"/>
      <c r="C53" s="15"/>
    </row>
    <row r="54" customFormat="false" ht="15" hidden="false" customHeight="false" outlineLevel="0" collapsed="false">
      <c r="A54" s="14" t="n">
        <v>46</v>
      </c>
      <c r="B54" s="13"/>
      <c r="C54" s="15"/>
    </row>
    <row r="55" customFormat="false" ht="15" hidden="false" customHeight="false" outlineLevel="0" collapsed="false">
      <c r="A55" s="14" t="n">
        <v>47</v>
      </c>
      <c r="B55" s="13"/>
      <c r="C55" s="15"/>
    </row>
    <row r="56" customFormat="false" ht="15" hidden="false" customHeight="false" outlineLevel="0" collapsed="false">
      <c r="A56" s="14" t="n">
        <v>48</v>
      </c>
      <c r="B56" s="13"/>
      <c r="C56" s="15"/>
    </row>
    <row r="57" customFormat="false" ht="15" hidden="false" customHeight="false" outlineLevel="0" collapsed="false">
      <c r="A57" s="14" t="n">
        <v>49</v>
      </c>
      <c r="B57" s="13"/>
      <c r="C57" s="15"/>
    </row>
    <row r="58" customFormat="false" ht="15" hidden="false" customHeight="false" outlineLevel="0" collapsed="false">
      <c r="A58" s="14" t="n">
        <v>50</v>
      </c>
      <c r="B58" s="13"/>
      <c r="C58" s="15"/>
    </row>
    <row r="59" customFormat="false" ht="15" hidden="false" customHeight="false" outlineLevel="0" collapsed="false">
      <c r="A59" s="14" t="n">
        <v>51</v>
      </c>
      <c r="B59" s="13"/>
      <c r="C59" s="15"/>
    </row>
    <row r="60" customFormat="false" ht="15" hidden="false" customHeight="false" outlineLevel="0" collapsed="false">
      <c r="A60" s="14" t="n">
        <v>52</v>
      </c>
      <c r="B60" s="13"/>
      <c r="C60" s="15"/>
    </row>
  </sheetData>
  <conditionalFormatting sqref="A9:C60">
    <cfRule type="expression" priority="2" aboveAverage="0" equalAverage="0" bottom="0" percent="0" rank="0" text="" dxfId="0">
      <formula>$B9="Yes"</formula>
    </cfRule>
  </conditionalFormatting>
  <dataValidations count="1">
    <dataValidation allowBlank="true" errorStyle="stop" operator="between" showDropDown="false" showErrorMessage="false" showInputMessage="false" sqref="B9:B60" type="list">
      <formula1>"Yes"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2026-10-20T13:00:31Z</dcterms:created>
  <dc:creator>openpyxl</dc:creator>
  <dc:description/>
  <dc:language>en-US</dc:language>
  <cp:lastModifiedBy/>
  <dcterms:modified xsi:type="dcterms:W3CDTF">2026-10-20T13:00:31Z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