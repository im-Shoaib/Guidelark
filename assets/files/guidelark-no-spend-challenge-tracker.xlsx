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Tracker" sheetId="2" state="visible" r:id="rId4"/>
    <sheet name="Ru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<sst xmlns="http://schemas.openxmlformats.org/spreadsheetml/2006/main" count="64" uniqueCount="57">
  <si>
    <t xml:space="preserve">No-spend challenge tracker</t>
  </si>
  <si>
    <t xml:space="preserve">How to use it</t>
  </si>
  <si>
    <t xml:space="preserve">1. Write your rules on the Rules tab before day one: what still counts as essential, what is paused, and the grey areas.</t>
  </si>
  <si>
    <t xml:space="preserve">2. On the Tracker tab, type your start date and how many days you are doing (2, 7 or 30).</t>
  </si>
  <si>
    <t xml:space="preserve">3. Each evening, choose Yes or No and estimate what you did not spend.</t>
  </si>
  <si>
    <t xml:space="preserve">4. The top of the tab shows your clean days and the total you kept.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</si>
  <si>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</si>
  <si>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</si>
  <si>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https://guidelark.com/blog/no-spend-challenge/</t>
  </si>
  <si>
    <t xml:space="preserve">Free to use and share. General information, not financial advice.</t>
  </si>
  <si>
    <t xml:space="preserve">No-spend challenge</t>
  </si>
  <si>
    <t xml:space="preserve">Start date</t>
  </si>
  <si>
    <t xml:space="preserve">Length (days)</t>
  </si>
  <si>
    <t xml:space="preserve">Start with a weekend or 7 days. Try 30 once a week has gone well.</t>
  </si>
  <si>
    <t xml:space="preserve">Clean days</t>
  </si>
  <si>
    <t xml:space="preserve">Money kept</t>
  </si>
  <si>
    <t xml:space="preserve">Day</t>
  </si>
  <si>
    <t xml:space="preserve">Date</t>
  </si>
  <si>
    <t xml:space="preserve">Spent nothing extra?</t>
  </si>
  <si>
    <t xml:space="preserve">Money not spent (estimate)</t>
  </si>
  <si>
    <t xml:space="preserve">Notes</t>
  </si>
  <si>
    <t xml:space="preserve">Yes</t>
  </si>
  <si>
    <t xml:space="preserve">Made coffee at home</t>
  </si>
  <si>
    <t xml:space="preserve">Cooked instead of takeout</t>
  </si>
  <si>
    <t xml:space="preserve">No</t>
  </si>
  <si>
    <t xml:space="preserve">Planned birthday gift, allowed</t>
  </si>
  <si>
    <t xml:space="preserve">Walked instead of a rideshare</t>
  </si>
  <si>
    <t xml:space="preserve">Skipped snacks</t>
  </si>
  <si>
    <t xml:space="preserve">Film night at home</t>
  </si>
  <si>
    <t xml:space="preserve">My rules</t>
  </si>
  <si>
    <t xml:space="preserve">Decide these before day one, not on day four when something tempts you.</t>
  </si>
  <si>
    <t xml:space="preserve">Still essential (not cheating)</t>
  </si>
  <si>
    <t xml:space="preserve">My decision</t>
  </si>
  <si>
    <t xml:space="preserve">Rent and bills</t>
  </si>
  <si>
    <t xml:space="preserve">Always paid</t>
  </si>
  <si>
    <t xml:space="preserve">Groceries</t>
  </si>
  <si>
    <t xml:space="preserve">Normal shop from a list</t>
  </si>
  <si>
    <t xml:space="preserve">Transport to work</t>
  </si>
  <si>
    <t xml:space="preserve">Bus pass or fuel</t>
  </si>
  <si>
    <t xml:space="preserve">Medicine and basics</t>
  </si>
  <si>
    <t xml:space="preserve">Only what runs out</t>
  </si>
  <si>
    <t xml:space="preserve">Paused for the challenge</t>
  </si>
  <si>
    <t xml:space="preserve">Takeout and eating out</t>
  </si>
  <si>
    <t xml:space="preserve">Cook or bring lunch</t>
  </si>
  <si>
    <t xml:space="preserve">Coffee out</t>
  </si>
  <si>
    <t xml:space="preserve">Make it at home</t>
  </si>
  <si>
    <t xml:space="preserve">Online shopping</t>
  </si>
  <si>
    <t xml:space="preserve">Wish list only</t>
  </si>
  <si>
    <t xml:space="preserve">New clothes</t>
  </si>
  <si>
    <t xml:space="preserve">Unless something wears out</t>
  </si>
  <si>
    <t xml:space="preserve">Grey areas, decided now</t>
  </si>
  <si>
    <t xml:space="preserve">Gifts</t>
  </si>
  <si>
    <t xml:space="preserve">Allowed with a set limit</t>
  </si>
  <si>
    <t xml:space="preserve">Social plans</t>
  </si>
  <si>
    <t xml:space="preserve">Free plans, or one with a cash limit</t>
  </si>
  <si>
    <t xml:space="preserve">Sales and deals</t>
  </si>
  <si>
    <t xml:space="preserve">Not allowed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</si>
</sst>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;[RED]&quot;-$&quot;#,##0.00;\-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FE4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4C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6"/>
  </cols>
  <sheetData>
    <row r="1" customFormat="false" ht="19.7" hidden="false" customHeight="false" outlineLevel="0" collapsed="false">
      <c r="A1" s="1" t="s">
        <v>10</v>
      </c>
    </row>
    <row r="3" customFormat="false" ht="15" hidden="false" customHeight="false" outlineLevel="0" collapsed="false">
      <c r="A3" s="4" t="s">
        <v>11</v>
      </c>
      <c r="B3" s="5" t="n">
        <v>46328</v>
      </c>
    </row>
    <row r="4" customFormat="false" ht="15" hidden="false" customHeight="false" outlineLevel="0" collapsed="false">
      <c r="A4" s="4" t="s">
        <v>12</v>
      </c>
      <c r="B4" s="6" t="n">
        <v>7</v>
      </c>
      <c r="C4" s="7" t="s">
        <v>13</v>
      </c>
    </row>
    <row r="5" customFormat="false" ht="15" hidden="false" customHeight="false" outlineLevel="0" collapsed="false">
      <c r="A5" s="4" t="s">
        <v>14</v>
      </c>
      <c r="B5" s="4" t="str">
        <f aca="false">COUNTIF(C9:C38,"Yes")&amp;" of "&amp;B4</f>
        <v>6 of 7</v>
      </c>
    </row>
    <row r="6" customFormat="false" ht="15" hidden="false" customHeight="false" outlineLevel="0" collapsed="false">
      <c r="A6" s="4" t="s">
        <v>15</v>
      </c>
      <c r="B6" s="8" t="n">
        <f aca="false">SUM(D9:D38)</f>
        <v>66</v>
      </c>
    </row>
    <row r="8" customFormat="false" ht="30" hidden="false" customHeight="true" outlineLevel="0" collapsed="false">
      <c r="A8" s="9" t="s">
        <v>16</v>
      </c>
      <c r="B8" s="9" t="s">
        <v>17</v>
      </c>
      <c r="C8" s="9" t="s">
        <v>18</v>
      </c>
      <c r="D8" s="10" t="s">
        <v>19</v>
      </c>
      <c r="E8" s="9" t="s">
        <v>20</v>
      </c>
    </row>
    <row r="9" customFormat="false" ht="15" hidden="false" customHeight="false" outlineLevel="0" collapsed="false">
      <c r="A9" s="11" t="n">
        <f aca="false">IF(1&gt;$B$4,"",1)</f>
        <v>1</v>
      </c>
      <c r="B9" s="12" t="n">
        <f aca="false">IF(A9="","",$B$3+0)</f>
        <v>46328</v>
      </c>
      <c r="C9" s="13" t="s">
        <v>21</v>
      </c>
      <c r="D9" s="14" t="n">
        <v>12</v>
      </c>
      <c r="E9" s="13" t="s">
        <v>22</v>
      </c>
    </row>
    <row r="10" customFormat="false" ht="15" hidden="false" customHeight="false" outlineLevel="0" collapsed="false">
      <c r="A10" s="11" t="n">
        <f aca="false">IF(2&gt;$B$4,"",2)</f>
        <v>2</v>
      </c>
      <c r="B10" s="12" t="n">
        <f aca="false">IF(A10="","",$B$3+1)</f>
        <v>46329</v>
      </c>
      <c r="C10" s="13" t="s">
        <v>21</v>
      </c>
      <c r="D10" s="14" t="n">
        <v>19</v>
      </c>
      <c r="E10" s="13" t="s">
        <v>23</v>
      </c>
    </row>
    <row r="11" customFormat="false" ht="15" hidden="false" customHeight="false" outlineLevel="0" collapsed="false">
      <c r="A11" s="11" t="n">
        <f aca="false">IF(3&gt;$B$4,"",3)</f>
        <v>3</v>
      </c>
      <c r="B11" s="12" t="n">
        <f aca="false">IF(A11="","",$B$3+2)</f>
        <v>46330</v>
      </c>
      <c r="C11" s="13" t="s">
        <v>21</v>
      </c>
      <c r="D11" s="14" t="n">
        <v>0</v>
      </c>
      <c r="E11" s="13"/>
    </row>
    <row r="12" customFormat="false" ht="15" hidden="false" customHeight="false" outlineLevel="0" collapsed="false">
      <c r="A12" s="11" t="n">
        <f aca="false">IF(4&gt;$B$4,"",4)</f>
        <v>4</v>
      </c>
      <c r="B12" s="12" t="n">
        <f aca="false">IF(A12="","",$B$3+3)</f>
        <v>46331</v>
      </c>
      <c r="C12" s="13" t="s">
        <v>24</v>
      </c>
      <c r="D12" s="14" t="n">
        <v>0</v>
      </c>
      <c r="E12" s="13" t="s">
        <v>25</v>
      </c>
    </row>
    <row r="13" customFormat="false" ht="15" hidden="false" customHeight="false" outlineLevel="0" collapsed="false">
      <c r="A13" s="11" t="n">
        <f aca="false">IF(5&gt;$B$4,"",5)</f>
        <v>5</v>
      </c>
      <c r="B13" s="12" t="n">
        <f aca="false">IF(A13="","",$B$3+4)</f>
        <v>46332</v>
      </c>
      <c r="C13" s="13" t="s">
        <v>21</v>
      </c>
      <c r="D13" s="14" t="n">
        <v>15</v>
      </c>
      <c r="E13" s="13" t="s">
        <v>26</v>
      </c>
    </row>
    <row r="14" customFormat="false" ht="15" hidden="false" customHeight="false" outlineLevel="0" collapsed="false">
      <c r="A14" s="11" t="n">
        <f aca="false">IF(6&gt;$B$4,"",6)</f>
        <v>6</v>
      </c>
      <c r="B14" s="12" t="n">
        <f aca="false">IF(A14="","",$B$3+5)</f>
        <v>46333</v>
      </c>
      <c r="C14" s="13" t="s">
        <v>21</v>
      </c>
      <c r="D14" s="14" t="n">
        <v>10</v>
      </c>
      <c r="E14" s="13" t="s">
        <v>27</v>
      </c>
    </row>
    <row r="15" customFormat="false" ht="15" hidden="false" customHeight="false" outlineLevel="0" collapsed="false">
      <c r="A15" s="11" t="n">
        <f aca="false">IF(7&gt;$B$4,"",7)</f>
        <v>7</v>
      </c>
      <c r="B15" s="12" t="n">
        <f aca="false">IF(A15="","",$B$3+6)</f>
        <v>46334</v>
      </c>
      <c r="C15" s="13" t="s">
        <v>21</v>
      </c>
      <c r="D15" s="14" t="n">
        <v>10</v>
      </c>
      <c r="E15" s="13" t="s">
        <v>28</v>
      </c>
    </row>
    <row r="16" customFormat="false" ht="15" hidden="false" customHeight="false" outlineLevel="0" collapsed="false">
      <c r="A16" s="11" t="str">
        <f aca="false">IF(8&gt;$B$4,"",8)</f>
        <v/>
      </c>
      <c r="B16" s="12" t="str">
        <f aca="false">IF(A16="","",$B$3+7)</f>
        <v/>
      </c>
      <c r="C16" s="13"/>
      <c r="D16" s="14"/>
      <c r="E16" s="13"/>
    </row>
    <row r="17" customFormat="false" ht="15" hidden="false" customHeight="false" outlineLevel="0" collapsed="false">
      <c r="A17" s="11" t="str">
        <f aca="false">IF(9&gt;$B$4,"",9)</f>
        <v/>
      </c>
      <c r="B17" s="12" t="str">
        <f aca="false">IF(A17="","",$B$3+8)</f>
        <v/>
      </c>
      <c r="C17" s="13"/>
      <c r="D17" s="14"/>
      <c r="E17" s="13"/>
    </row>
    <row r="18" customFormat="false" ht="15" hidden="false" customHeight="false" outlineLevel="0" collapsed="false">
      <c r="A18" s="11" t="str">
        <f aca="false">IF(10&gt;$B$4,"",10)</f>
        <v/>
      </c>
      <c r="B18" s="12" t="str">
        <f aca="false">IF(A18="","",$B$3+9)</f>
        <v/>
      </c>
      <c r="C18" s="13"/>
      <c r="D18" s="14"/>
      <c r="E18" s="13"/>
    </row>
    <row r="19" customFormat="false" ht="15" hidden="false" customHeight="false" outlineLevel="0" collapsed="false">
      <c r="A19" s="11" t="str">
        <f aca="false">IF(11&gt;$B$4,"",11)</f>
        <v/>
      </c>
      <c r="B19" s="12" t="str">
        <f aca="false">IF(A19="","",$B$3+10)</f>
        <v/>
      </c>
      <c r="C19" s="13"/>
      <c r="D19" s="14"/>
      <c r="E19" s="13"/>
    </row>
    <row r="20" customFormat="false" ht="15" hidden="false" customHeight="false" outlineLevel="0" collapsed="false">
      <c r="A20" s="11" t="str">
        <f aca="false">IF(12&gt;$B$4,"",12)</f>
        <v/>
      </c>
      <c r="B20" s="12" t="str">
        <f aca="false">IF(A20="","",$B$3+11)</f>
        <v/>
      </c>
      <c r="C20" s="13"/>
      <c r="D20" s="14"/>
      <c r="E20" s="13"/>
    </row>
    <row r="21" customFormat="false" ht="15" hidden="false" customHeight="false" outlineLevel="0" collapsed="false">
      <c r="A21" s="11" t="str">
        <f aca="false">IF(13&gt;$B$4,"",13)</f>
        <v/>
      </c>
      <c r="B21" s="12" t="str">
        <f aca="false">IF(A21="","",$B$3+12)</f>
        <v/>
      </c>
      <c r="C21" s="13"/>
      <c r="D21" s="14"/>
      <c r="E21" s="13"/>
    </row>
    <row r="22" customFormat="false" ht="15" hidden="false" customHeight="false" outlineLevel="0" collapsed="false">
      <c r="A22" s="11" t="str">
        <f aca="false">IF(14&gt;$B$4,"",14)</f>
        <v/>
      </c>
      <c r="B22" s="12" t="str">
        <f aca="false">IF(A22="","",$B$3+13)</f>
        <v/>
      </c>
      <c r="C22" s="13"/>
      <c r="D22" s="14"/>
      <c r="E22" s="13"/>
    </row>
    <row r="23" customFormat="false" ht="15" hidden="false" customHeight="false" outlineLevel="0" collapsed="false">
      <c r="A23" s="11" t="str">
        <f aca="false">IF(15&gt;$B$4,"",15)</f>
        <v/>
      </c>
      <c r="B23" s="12" t="str">
        <f aca="false">IF(A23="","",$B$3+14)</f>
        <v/>
      </c>
      <c r="C23" s="13"/>
      <c r="D23" s="14"/>
      <c r="E23" s="13"/>
    </row>
    <row r="24" customFormat="false" ht="15" hidden="false" customHeight="false" outlineLevel="0" collapsed="false">
      <c r="A24" s="11" t="str">
        <f aca="false">IF(16&gt;$B$4,"",16)</f>
        <v/>
      </c>
      <c r="B24" s="12" t="str">
        <f aca="false">IF(A24="","",$B$3+15)</f>
        <v/>
      </c>
      <c r="C24" s="13"/>
      <c r="D24" s="14"/>
      <c r="E24" s="13"/>
    </row>
    <row r="25" customFormat="false" ht="15" hidden="false" customHeight="false" outlineLevel="0" collapsed="false">
      <c r="A25" s="11" t="str">
        <f aca="false">IF(17&gt;$B$4,"",17)</f>
        <v/>
      </c>
      <c r="B25" s="12" t="str">
        <f aca="false">IF(A25="","",$B$3+16)</f>
        <v/>
      </c>
      <c r="C25" s="13"/>
      <c r="D25" s="14"/>
      <c r="E25" s="13"/>
    </row>
    <row r="26" customFormat="false" ht="15" hidden="false" customHeight="false" outlineLevel="0" collapsed="false">
      <c r="A26" s="11" t="str">
        <f aca="false">IF(18&gt;$B$4,"",18)</f>
        <v/>
      </c>
      <c r="B26" s="12" t="str">
        <f aca="false">IF(A26="","",$B$3+17)</f>
        <v/>
      </c>
      <c r="C26" s="13"/>
      <c r="D26" s="14"/>
      <c r="E26" s="13"/>
    </row>
    <row r="27" customFormat="false" ht="15" hidden="false" customHeight="false" outlineLevel="0" collapsed="false">
      <c r="A27" s="11" t="str">
        <f aca="false">IF(19&gt;$B$4,"",19)</f>
        <v/>
      </c>
      <c r="B27" s="12" t="str">
        <f aca="false">IF(A27="","",$B$3+18)</f>
        <v/>
      </c>
      <c r="C27" s="13"/>
      <c r="D27" s="14"/>
      <c r="E27" s="13"/>
    </row>
    <row r="28" customFormat="false" ht="15" hidden="false" customHeight="false" outlineLevel="0" collapsed="false">
      <c r="A28" s="11" t="str">
        <f aca="false">IF(20&gt;$B$4,"",20)</f>
        <v/>
      </c>
      <c r="B28" s="12" t="str">
        <f aca="false">IF(A28="","",$B$3+19)</f>
        <v/>
      </c>
      <c r="C28" s="13"/>
      <c r="D28" s="14"/>
      <c r="E28" s="13"/>
    </row>
    <row r="29" customFormat="false" ht="15" hidden="false" customHeight="false" outlineLevel="0" collapsed="false">
      <c r="A29" s="11" t="str">
        <f aca="false">IF(21&gt;$B$4,"",21)</f>
        <v/>
      </c>
      <c r="B29" s="12" t="str">
        <f aca="false">IF(A29="","",$B$3+20)</f>
        <v/>
      </c>
      <c r="C29" s="13"/>
      <c r="D29" s="14"/>
      <c r="E29" s="13"/>
    </row>
    <row r="30" customFormat="false" ht="15" hidden="false" customHeight="false" outlineLevel="0" collapsed="false">
      <c r="A30" s="11" t="str">
        <f aca="false">IF(22&gt;$B$4,"",22)</f>
        <v/>
      </c>
      <c r="B30" s="12" t="str">
        <f aca="false">IF(A30="","",$B$3+21)</f>
        <v/>
      </c>
      <c r="C30" s="13"/>
      <c r="D30" s="14"/>
      <c r="E30" s="13"/>
    </row>
    <row r="31" customFormat="false" ht="15" hidden="false" customHeight="false" outlineLevel="0" collapsed="false">
      <c r="A31" s="11" t="str">
        <f aca="false">IF(23&gt;$B$4,"",23)</f>
        <v/>
      </c>
      <c r="B31" s="12" t="str">
        <f aca="false">IF(A31="","",$B$3+22)</f>
        <v/>
      </c>
      <c r="C31" s="13"/>
      <c r="D31" s="14"/>
      <c r="E31" s="13"/>
    </row>
    <row r="32" customFormat="false" ht="15" hidden="false" customHeight="false" outlineLevel="0" collapsed="false">
      <c r="A32" s="11" t="str">
        <f aca="false">IF(24&gt;$B$4,"",24)</f>
        <v/>
      </c>
      <c r="B32" s="12" t="str">
        <f aca="false">IF(A32="","",$B$3+23)</f>
        <v/>
      </c>
      <c r="C32" s="13"/>
      <c r="D32" s="14"/>
      <c r="E32" s="13"/>
    </row>
    <row r="33" customFormat="false" ht="15" hidden="false" customHeight="false" outlineLevel="0" collapsed="false">
      <c r="A33" s="11" t="str">
        <f aca="false">IF(25&gt;$B$4,"",25)</f>
        <v/>
      </c>
      <c r="B33" s="12" t="str">
        <f aca="false">IF(A33="","",$B$3+24)</f>
        <v/>
      </c>
      <c r="C33" s="13"/>
      <c r="D33" s="14"/>
      <c r="E33" s="13"/>
    </row>
    <row r="34" customFormat="false" ht="15" hidden="false" customHeight="false" outlineLevel="0" collapsed="false">
      <c r="A34" s="11" t="str">
        <f aca="false">IF(26&gt;$B$4,"",26)</f>
        <v/>
      </c>
      <c r="B34" s="12" t="str">
        <f aca="false">IF(A34="","",$B$3+25)</f>
        <v/>
      </c>
      <c r="C34" s="13"/>
      <c r="D34" s="14"/>
      <c r="E34" s="13"/>
    </row>
    <row r="35" customFormat="false" ht="15" hidden="false" customHeight="false" outlineLevel="0" collapsed="false">
      <c r="A35" s="11" t="str">
        <f aca="false">IF(27&gt;$B$4,"",27)</f>
        <v/>
      </c>
      <c r="B35" s="12" t="str">
        <f aca="false">IF(A35="","",$B$3+26)</f>
        <v/>
      </c>
      <c r="C35" s="13"/>
      <c r="D35" s="14"/>
      <c r="E35" s="13"/>
    </row>
    <row r="36" customFormat="false" ht="15" hidden="false" customHeight="false" outlineLevel="0" collapsed="false">
      <c r="A36" s="11" t="str">
        <f aca="false">IF(28&gt;$B$4,"",28)</f>
        <v/>
      </c>
      <c r="B36" s="12" t="str">
        <f aca="false">IF(A36="","",$B$3+27)</f>
        <v/>
      </c>
      <c r="C36" s="13"/>
      <c r="D36" s="14"/>
      <c r="E36" s="13"/>
    </row>
    <row r="37" customFormat="false" ht="15" hidden="false" customHeight="false" outlineLevel="0" collapsed="false">
      <c r="A37" s="11" t="str">
        <f aca="false">IF(29&gt;$B$4,"",29)</f>
        <v/>
      </c>
      <c r="B37" s="12" t="str">
        <f aca="false">IF(A37="","",$B$3+28)</f>
        <v/>
      </c>
      <c r="C37" s="13"/>
      <c r="D37" s="14"/>
      <c r="E37" s="13"/>
    </row>
    <row r="38" customFormat="false" ht="15" hidden="false" customHeight="false" outlineLevel="0" collapsed="false">
      <c r="A38" s="11" t="str">
        <f aca="false">IF(30&gt;$B$4,"",30)</f>
        <v/>
      </c>
      <c r="B38" s="12" t="str">
        <f aca="false">IF(A38="","",$B$3+29)</f>
        <v/>
      </c>
      <c r="C38" s="13"/>
      <c r="D38" s="14"/>
      <c r="E38" s="13"/>
    </row>
  </sheetData>
  <conditionalFormatting sqref="A9:E38">
    <cfRule type="expression" priority="2" aboveAverage="0" equalAverage="0" bottom="0" percent="0" rank="0" text="" dxfId="0">
      <formula>$C9="Yes"</formula>
    </cfRule>
  </conditionalFormatting>
  <dataValidations count="1">
    <dataValidation allowBlank="true" errorStyle="stop" operator="between" showDropDown="false" showErrorMessage="false" showInputMessage="false" sqref="C9:C3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7" t="s">
        <v>30</v>
      </c>
    </row>
    <row r="4" customFormat="false" ht="15" hidden="false" customHeight="false" outlineLevel="0" collapsed="false">
      <c r="A4" s="9" t="s">
        <v>31</v>
      </c>
      <c r="B4" s="9" t="s">
        <v>32</v>
      </c>
    </row>
    <row r="5" customFormat="false" ht="15" hidden="false" customHeight="false" outlineLevel="0" collapsed="false">
      <c r="A5" s="13" t="s">
        <v>33</v>
      </c>
      <c r="B5" s="13" t="s">
        <v>34</v>
      </c>
    </row>
    <row r="6" customFormat="false" ht="15" hidden="false" customHeight="false" outlineLevel="0" collapsed="false">
      <c r="A6" s="13" t="s">
        <v>35</v>
      </c>
      <c r="B6" s="13" t="s">
        <v>36</v>
      </c>
    </row>
    <row r="7" customFormat="false" ht="15" hidden="false" customHeight="false" outlineLevel="0" collapsed="false">
      <c r="A7" s="13" t="s">
        <v>37</v>
      </c>
      <c r="B7" s="13" t="s">
        <v>38</v>
      </c>
    </row>
    <row r="8" customFormat="false" ht="15" hidden="false" customHeight="false" outlineLevel="0" collapsed="false">
      <c r="A8" s="13" t="s">
        <v>39</v>
      </c>
      <c r="B8" s="13" t="s">
        <v>40</v>
      </c>
    </row>
    <row r="9" customFormat="false" ht="15" hidden="false" customHeight="false" outlineLevel="0" collapsed="false">
      <c r="A9" s="13"/>
      <c r="B9" s="13"/>
    </row>
    <row r="10" customFormat="false" ht="15" hidden="false" customHeight="false" outlineLevel="0" collapsed="false">
      <c r="A10" s="13"/>
      <c r="B10" s="13"/>
    </row>
    <row r="12" customFormat="false" ht="15" hidden="false" customHeight="false" outlineLevel="0" collapsed="false">
      <c r="A12" s="9" t="s">
        <v>41</v>
      </c>
      <c r="B12" s="9" t="s">
        <v>32</v>
      </c>
    </row>
    <row r="13" customFormat="false" ht="15" hidden="false" customHeight="false" outlineLevel="0" collapsed="false">
      <c r="A13" s="13" t="s">
        <v>42</v>
      </c>
      <c r="B13" s="13" t="s">
        <v>43</v>
      </c>
    </row>
    <row r="14" customFormat="false" ht="15" hidden="false" customHeight="false" outlineLevel="0" collapsed="false">
      <c r="A14" s="13" t="s">
        <v>44</v>
      </c>
      <c r="B14" s="13" t="s">
        <v>45</v>
      </c>
    </row>
    <row r="15" customFormat="false" ht="15" hidden="false" customHeight="false" outlineLevel="0" collapsed="false">
      <c r="A15" s="13" t="s">
        <v>46</v>
      </c>
      <c r="B15" s="13" t="s">
        <v>47</v>
      </c>
    </row>
    <row r="16" customFormat="false" ht="15" hidden="false" customHeight="false" outlineLevel="0" collapsed="false">
      <c r="A16" s="13" t="s">
        <v>48</v>
      </c>
      <c r="B16" s="13" t="s">
        <v>49</v>
      </c>
    </row>
    <row r="17" customFormat="false" ht="15" hidden="false" customHeight="false" outlineLevel="0" collapsed="false">
      <c r="A17" s="13"/>
      <c r="B17" s="13"/>
    </row>
    <row r="18" customFormat="false" ht="15" hidden="false" customHeight="false" outlineLevel="0" collapsed="false">
      <c r="A18" s="13"/>
      <c r="B18" s="13"/>
    </row>
    <row r="20" customFormat="false" ht="15" hidden="false" customHeight="false" outlineLevel="0" collapsed="false">
      <c r="A20" s="9" t="s">
        <v>50</v>
      </c>
      <c r="B20" s="9" t="s">
        <v>32</v>
      </c>
    </row>
    <row r="21" customFormat="false" ht="15" hidden="false" customHeight="false" outlineLevel="0" collapsed="false">
      <c r="A21" s="13" t="s">
        <v>51</v>
      </c>
      <c r="B21" s="13" t="s">
        <v>52</v>
      </c>
    </row>
    <row r="22" customFormat="false" ht="15" hidden="false" customHeight="false" outlineLevel="0" collapsed="false">
      <c r="A22" s="13" t="s">
        <v>53</v>
      </c>
      <c r="B22" s="13" t="s">
        <v>54</v>
      </c>
    </row>
    <row r="23" customFormat="false" ht="15" hidden="false" customHeight="false" outlineLevel="0" collapsed="false">
      <c r="A23" s="13" t="s">
        <v>55</v>
      </c>
      <c r="B23" s="13" t="s">
        <v>56</v>
      </c>
    </row>
    <row r="24" customFormat="false" ht="15" hidden="false" customHeight="false" outlineLevel="0" collapsed="false">
      <c r="A24" s="13"/>
      <c r="B24" s="13"/>
    </row>
    <row r="25" customFormat="false" ht="15" hidden="false" customHeight="false" outlineLevel="0" collapsed="false">
      <c r="A25" s="13"/>
      <c r="B25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