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Rent" sheetId="2" state="visible" r:id="rId4"/>
    <sheet name="Roomma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<sst xmlns="http://schemas.openxmlformats.org/spreadsheetml/2006/main" count="47" uniqueCount="47">
  <si>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Rent affordability worksheet</t>
  </si>
  <si>
    <t xml:space="preserve">How to use it</t>
  </si>
  <si>
    <t xml:space="preserve">1. Type your monthly take-home pay: what actually lands in your account.</t>
  </si>
  <si>
    <t xml:space="preserve">2. List everything you spend each month except housing, including debt payments and savings.</t>
  </si>
  <si>
    <t xml:space="preserve">3. Type the utilities you expect. The sheet finds two ceilings and uses the lower one.</t>
  </si>
  <si>
    <t xml:space="preserve">4. Type the rent of a place you are looking at to see how it fits.</t>
  </si>
  <si>
    <t xml:space="preserve">5. Sharing? The Roommates tab splits rent and utilities by income.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</si>
  <si>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</si>
  <si>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</si>
  <si>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https://guidelark.com/blog/how-much-rent-can-i-afford/</t>
  </si>
  <si>
    <t xml:space="preserve">Free to use and share. General information, not financial advice.</t>
  </si>
  <si>
    <t xml:space="preserve">How much rent can I afford?</t>
  </si>
  <si>
    <t xml:space="preserve">Monthly take-home pay</t>
  </si>
  <si>
    <t xml:space="preserve">Utilities you expect</t>
  </si>
  <si>
    <t xml:space="preserve">Other monthly costs (not housing)</t>
  </si>
  <si>
    <t xml:space="preserve">Amount</t>
  </si>
  <si>
    <t xml:space="preserve">Groceries</t>
  </si>
  <si>
    <t xml:space="preserve">Transport</t>
  </si>
  <si>
    <t xml:space="preserve">Phone</t>
  </si>
  <si>
    <t xml:space="preserve">Student loan payment</t>
  </si>
  <si>
    <t xml:space="preserve">Going out and subscriptions</t>
  </si>
  <si>
    <t xml:space="preserve">Savings</t>
  </si>
  <si>
    <t xml:space="preserve">Total other costs</t>
  </si>
  <si>
    <t xml:space="preserve">Ceiling A: 30% of take-home (rent + utilities)</t>
  </si>
  <si>
    <t xml:space="preserve">Ceiling B: what is left after other costs</t>
  </si>
  <si>
    <t xml:space="preserve">Your housing ceiling (the lower one)</t>
  </si>
  <si>
    <t xml:space="preserve">Rent target (ceiling minus utilities)</t>
  </si>
  <si>
    <t xml:space="preserve">For comparison: 30% of gross pay</t>
  </si>
  <si>
    <t xml:space="preserve">Optional. Type your monthly gross pay x 0.3 to see the old rule.</t>
  </si>
  <si>
    <t xml:space="preserve">Check a place</t>
  </si>
  <si>
    <t xml:space="preserve">Rent of the place you are looking at</t>
  </si>
  <si>
    <t xml:space="preserve">Rent + utilities as a share of take-home</t>
  </si>
  <si>
    <t xml:space="preserve">Left after rent, utilities and other costs</t>
  </si>
  <si>
    <t xml:space="preserve">Verdict</t>
  </si>
  <si>
    <t xml:space="preserve">Split rent and utilities by income</t>
  </si>
  <si>
    <t xml:space="preserve">Total rent</t>
  </si>
  <si>
    <t xml:space="preserve">Total utilities</t>
  </si>
  <si>
    <t xml:space="preserve">Person</t>
  </si>
  <si>
    <t xml:space="preserve">Take-home pay</t>
  </si>
  <si>
    <t xml:space="preserve">Share</t>
  </si>
  <si>
    <t xml:space="preserve">Rent</t>
  </si>
  <si>
    <t xml:space="preserve">Utilities</t>
  </si>
  <si>
    <t xml:space="preserve">Rent + utilities as share of pay</t>
  </si>
  <si>
    <t xml:space="preserve">Roommate 1</t>
  </si>
  <si>
    <t xml:space="preserve">Roommate 2</t>
  </si>
  <si>
    <t xml:space="preserve">Check</t>
  </si>
  <si>
    <t xml:space="preserve">Split evenly instead, each would pay half. The income split gives everyone the same share of their own pay.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</si>
</sst>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55607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FE4C2"/>
        </patternFill>
      </fill>
    </dxf>
    <dxf>
      <fill>
        <patternFill>
          <bgColor rgb="FFF6B9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BFE4C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6B9A6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11</v>
      </c>
    </row>
    <row r="3" customFormat="false" ht="15" hidden="false" customHeight="false" outlineLevel="0" collapsed="false">
      <c r="A3" s="4" t="s">
        <v>12</v>
      </c>
      <c r="B3" s="5" t="n">
        <v>2600</v>
      </c>
    </row>
    <row r="4" customFormat="false" ht="15" hidden="false" customHeight="false" outlineLevel="0" collapsed="false">
      <c r="A4" s="4" t="s">
        <v>13</v>
      </c>
      <c r="B4" s="5" t="n">
        <v>130</v>
      </c>
    </row>
    <row r="6" customFormat="false" ht="15" hidden="false" customHeight="false" outlineLevel="0" collapsed="false">
      <c r="A6" s="6" t="s">
        <v>14</v>
      </c>
      <c r="B6" s="7" t="s">
        <v>15</v>
      </c>
    </row>
    <row r="7" customFormat="false" ht="15" hidden="false" customHeight="false" outlineLevel="0" collapsed="false">
      <c r="A7" s="8" t="s">
        <v>16</v>
      </c>
      <c r="B7" s="9" t="n">
        <v>320</v>
      </c>
    </row>
    <row r="8" customFormat="false" ht="15" hidden="false" customHeight="false" outlineLevel="0" collapsed="false">
      <c r="A8" s="8" t="s">
        <v>17</v>
      </c>
      <c r="B8" s="9" t="n">
        <v>180</v>
      </c>
    </row>
    <row r="9" customFormat="false" ht="15" hidden="false" customHeight="false" outlineLevel="0" collapsed="false">
      <c r="A9" s="8" t="s">
        <v>18</v>
      </c>
      <c r="B9" s="9" t="n">
        <v>55</v>
      </c>
    </row>
    <row r="10" customFormat="false" ht="15" hidden="false" customHeight="false" outlineLevel="0" collapsed="false">
      <c r="A10" s="8" t="s">
        <v>19</v>
      </c>
      <c r="B10" s="9" t="n">
        <v>160</v>
      </c>
    </row>
    <row r="11" customFormat="false" ht="15" hidden="false" customHeight="false" outlineLevel="0" collapsed="false">
      <c r="A11" s="8" t="s">
        <v>20</v>
      </c>
      <c r="B11" s="9" t="n">
        <v>120</v>
      </c>
    </row>
    <row r="12" customFormat="false" ht="15" hidden="false" customHeight="false" outlineLevel="0" collapsed="false">
      <c r="A12" s="8" t="s">
        <v>21</v>
      </c>
      <c r="B12" s="9" t="n">
        <v>150</v>
      </c>
    </row>
    <row r="13" customFormat="false" ht="15" hidden="false" customHeight="false" outlineLevel="0" collapsed="false">
      <c r="A13" s="8"/>
      <c r="B13" s="9"/>
    </row>
    <row r="14" customFormat="false" ht="15" hidden="false" customHeight="false" outlineLevel="0" collapsed="false">
      <c r="A14" s="8"/>
      <c r="B14" s="9"/>
    </row>
    <row r="15" customFormat="false" ht="15" hidden="false" customHeight="false" outlineLevel="0" collapsed="false">
      <c r="A15" s="8"/>
      <c r="B15" s="9"/>
    </row>
    <row r="16" customFormat="false" ht="15" hidden="false" customHeight="false" outlineLevel="0" collapsed="false">
      <c r="A16" s="8"/>
      <c r="B16" s="9"/>
    </row>
    <row r="17" customFormat="false" ht="15" hidden="false" customHeight="false" outlineLevel="0" collapsed="false">
      <c r="A17" s="10" t="s">
        <v>22</v>
      </c>
      <c r="B17" s="11" t="n">
        <f aca="false">SUM(B7:B16)</f>
        <v>985</v>
      </c>
    </row>
    <row r="19" customFormat="false" ht="15" hidden="false" customHeight="false" outlineLevel="0" collapsed="false">
      <c r="A19" s="4" t="s">
        <v>23</v>
      </c>
      <c r="B19" s="12" t="n">
        <f aca="false">B3*0.3</f>
        <v>780</v>
      </c>
    </row>
    <row r="20" customFormat="false" ht="15" hidden="false" customHeight="false" outlineLevel="0" collapsed="false">
      <c r="A20" s="4" t="s">
        <v>24</v>
      </c>
      <c r="B20" s="12" t="n">
        <f aca="false">B3-B17</f>
        <v>1615</v>
      </c>
    </row>
    <row r="21" customFormat="false" ht="15" hidden="false" customHeight="false" outlineLevel="0" collapsed="false">
      <c r="A21" s="4" t="s">
        <v>25</v>
      </c>
      <c r="B21" s="13" t="n">
        <f aca="false">MIN(B19,B20)</f>
        <v>780</v>
      </c>
    </row>
    <row r="22" customFormat="false" ht="17.35" hidden="false" customHeight="false" outlineLevel="0" collapsed="false">
      <c r="A22" s="4" t="s">
        <v>26</v>
      </c>
      <c r="B22" s="14" t="n">
        <f aca="false">MAX(0,B21-B4)</f>
        <v>650</v>
      </c>
    </row>
    <row r="23" customFormat="false" ht="15" hidden="false" customHeight="false" outlineLevel="0" collapsed="false">
      <c r="A23" s="4" t="s">
        <v>27</v>
      </c>
      <c r="B23" s="5"/>
      <c r="C23" s="15" t="s">
        <v>28</v>
      </c>
    </row>
    <row r="25" customFormat="false" ht="15" hidden="false" customHeight="false" outlineLevel="0" collapsed="false">
      <c r="A25" s="2" t="s">
        <v>29</v>
      </c>
    </row>
    <row r="26" customFormat="false" ht="15" hidden="false" customHeight="false" outlineLevel="0" collapsed="false">
      <c r="A26" s="4" t="s">
        <v>30</v>
      </c>
      <c r="B26" s="5" t="n">
        <v>950</v>
      </c>
    </row>
    <row r="27" customFormat="false" ht="15" hidden="false" customHeight="false" outlineLevel="0" collapsed="false">
      <c r="A27" s="4" t="s">
        <v>31</v>
      </c>
      <c r="B27" s="16" t="n">
        <f aca="false">IF(B3=0,"",(B26+B4)/B3)</f>
        <v>0.415384615384615</v>
      </c>
    </row>
    <row r="28" customFormat="false" ht="15" hidden="false" customHeight="false" outlineLevel="0" collapsed="false">
      <c r="A28" s="4" t="s">
        <v>32</v>
      </c>
      <c r="B28" s="13" t="n">
        <f aca="false">B3-B26-B4-B17</f>
        <v>535</v>
      </c>
    </row>
    <row r="29" customFormat="false" ht="15" hidden="false" customHeight="false" outlineLevel="0" collapsed="false">
      <c r="A29" s="4" t="s">
        <v>33</v>
      </c>
      <c r="B29" s="4" t="str">
        <f aca="false">IF(B3=0,"",IF(B28&lt;0,"Does not fit",IF(B26+B4&lt;=B21,"Fits","Over your ceiling: a stretch")))</f>
        <v>Over your ceiling: a stretch</v>
      </c>
    </row>
  </sheetData>
  <conditionalFormatting sqref="B29">
    <cfRule type="cellIs" priority="2" operator="equal" aboveAverage="0" equalAverage="0" bottom="0" percent="0" rank="0" text="" dxfId="0">
      <formula>"Fits"</formula>
    </cfRule>
    <cfRule type="cellIs" priority="3" operator="notEqual" aboveAverage="0" equalAverage="0" bottom="0" percent="0" rank="0" text="" dxfId="1">
      <formula>"Fits"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34</v>
      </c>
    </row>
    <row r="3" customFormat="false" ht="15" hidden="false" customHeight="false" outlineLevel="0" collapsed="false">
      <c r="A3" s="4" t="s">
        <v>35</v>
      </c>
      <c r="B3" s="5" t="n">
        <v>1650</v>
      </c>
    </row>
    <row r="4" customFormat="false" ht="15" hidden="false" customHeight="false" outlineLevel="0" collapsed="false">
      <c r="A4" s="4" t="s">
        <v>36</v>
      </c>
      <c r="B4" s="5" t="n">
        <v>150</v>
      </c>
    </row>
    <row r="6" customFormat="false" ht="26.85" hidden="false" customHeight="false" outlineLevel="0" collapsed="false">
      <c r="A6" s="6" t="s">
        <v>37</v>
      </c>
      <c r="B6" s="7" t="s">
        <v>38</v>
      </c>
      <c r="C6" s="7" t="s">
        <v>39</v>
      </c>
      <c r="D6" s="7" t="s">
        <v>40</v>
      </c>
      <c r="E6" s="7" t="s">
        <v>41</v>
      </c>
      <c r="F6" s="7" t="s">
        <v>42</v>
      </c>
    </row>
    <row r="7" customFormat="false" ht="15" hidden="false" customHeight="false" outlineLevel="0" collapsed="false">
      <c r="A7" s="8" t="s">
        <v>43</v>
      </c>
      <c r="B7" s="9" t="n">
        <v>2900</v>
      </c>
      <c r="C7" s="17" t="n">
        <f aca="false">IF(N(B7)=0,"",B7/SUM($B$7:$B$10))</f>
        <v>0.604166666666667</v>
      </c>
      <c r="D7" s="18" t="n">
        <f aca="false">IF(C7="","",$B$3*C7)</f>
        <v>996.875</v>
      </c>
      <c r="E7" s="18" t="n">
        <f aca="false">IF(C7="","",$B$4*C7)</f>
        <v>90.625</v>
      </c>
      <c r="F7" s="17" t="n">
        <f aca="false">IF(C7="","",(D7+E7)/B7)</f>
        <v>0.375</v>
      </c>
    </row>
    <row r="8" customFormat="false" ht="15" hidden="false" customHeight="false" outlineLevel="0" collapsed="false">
      <c r="A8" s="8" t="s">
        <v>44</v>
      </c>
      <c r="B8" s="9" t="n">
        <v>1900</v>
      </c>
      <c r="C8" s="17" t="n">
        <f aca="false">IF(N(B8)=0,"",B8/SUM($B$7:$B$10))</f>
        <v>0.395833333333333</v>
      </c>
      <c r="D8" s="18" t="n">
        <f aca="false">IF(C8="","",$B$3*C8)</f>
        <v>653.125</v>
      </c>
      <c r="E8" s="18" t="n">
        <f aca="false">IF(C8="","",$B$4*C8)</f>
        <v>59.375</v>
      </c>
      <c r="F8" s="17" t="n">
        <f aca="false">IF(C8="","",(D8+E8)/B8)</f>
        <v>0.375</v>
      </c>
    </row>
    <row r="9" customFormat="false" ht="15" hidden="false" customHeight="false" outlineLevel="0" collapsed="false">
      <c r="A9" s="8"/>
      <c r="B9" s="9"/>
      <c r="C9" s="17" t="str">
        <f aca="false">IF(N(B9)=0,"",B9/SUM($B$7:$B$10))</f>
        <v/>
      </c>
      <c r="D9" s="18" t="str">
        <f aca="false">IF(C9="","",$B$3*C9)</f>
        <v/>
      </c>
      <c r="E9" s="18" t="str">
        <f aca="false">IF(C9="","",$B$4*C9)</f>
        <v/>
      </c>
      <c r="F9" s="17" t="str">
        <f aca="false">IF(C9="","",(D9+E9)/B9)</f>
        <v/>
      </c>
    </row>
    <row r="10" customFormat="false" ht="15" hidden="false" customHeight="false" outlineLevel="0" collapsed="false">
      <c r="A10" s="8"/>
      <c r="B10" s="9"/>
      <c r="C10" s="17" t="str">
        <f aca="false">IF(N(B10)=0,"",B10/SUM($B$7:$B$10))</f>
        <v/>
      </c>
      <c r="D10" s="18" t="str">
        <f aca="false">IF(C10="","",$B$3*C10)</f>
        <v/>
      </c>
      <c r="E10" s="18" t="str">
        <f aca="false">IF(C10="","",$B$4*C10)</f>
        <v/>
      </c>
      <c r="F10" s="17" t="str">
        <f aca="false">IF(C10="","",(D10+E10)/B10)</f>
        <v/>
      </c>
    </row>
    <row r="11" customFormat="false" ht="15" hidden="false" customHeight="false" outlineLevel="0" collapsed="false">
      <c r="A11" s="10" t="s">
        <v>45</v>
      </c>
      <c r="B11" s="19"/>
      <c r="C11" s="19"/>
      <c r="D11" s="11" t="n">
        <f aca="false">SUM(D7:D10)</f>
        <v>1650</v>
      </c>
      <c r="E11" s="11" t="n">
        <f aca="false">SUM(E7:E10)</f>
        <v>150</v>
      </c>
      <c r="F11" s="19"/>
    </row>
    <row r="13" customFormat="false" ht="15" hidden="false" customHeight="false" outlineLevel="0" collapsed="false">
      <c r="A13" s="1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