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Pla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<sst xmlns="http://schemas.openxmlformats.org/spreadsheetml/2006/main" count="35" uniqueCount="35">
  <si>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Buy now, pay later tracker</t>
  </si>
  <si>
    <t xml:space="preserve">How to use it</t>
  </si>
  <si>
    <t xml:space="preserve">1. Add one row for every buy now, pay later plan you have, across every app.</t>
  </si>
  <si>
    <t xml:space="preserve">2. Type the total price, the number of payments, the date of the first payment and how many you have paid.</t>
  </si>
  <si>
    <t xml:space="preserve">3. The sheet shows each payment, what is still owed and the next payment date.</t>
  </si>
  <si>
    <t xml:space="preserve">4. The top shows everything still owed and what is due in the next 14 days, counted from today.</t>
  </si>
  <si>
    <t xml:space="preserve">5. Update "Payments made" each time one comes out.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</si>
  <si>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</si>
  <si>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</si>
  <si>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https://guidelark.com/blog/buy-now-pay-later-credit-score/</t>
  </si>
  <si>
    <t xml:space="preserve">Free to use and share. General information, not financial advice.</t>
  </si>
  <si>
    <t xml:space="preserve">Buy now, pay later plans</t>
  </si>
  <si>
    <t xml:space="preserve">Next payment dates assume a payment every 2 weeks, as in most Pay in 4 plans.</t>
  </si>
  <si>
    <t xml:space="preserve">Total still owed</t>
  </si>
  <si>
    <t xml:space="preserve">Due in the next 14 days</t>
  </si>
  <si>
    <t xml:space="preserve">Counted from today.</t>
  </si>
  <si>
    <t xml:space="preserve">Plans still running</t>
  </si>
  <si>
    <t xml:space="preserve">App</t>
  </si>
  <si>
    <t xml:space="preserve">What I bought</t>
  </si>
  <si>
    <t xml:space="preserve">Total price</t>
  </si>
  <si>
    <t xml:space="preserve">Number of payments</t>
  </si>
  <si>
    <t xml:space="preserve">First payment date</t>
  </si>
  <si>
    <t xml:space="preserve">Each payment</t>
  </si>
  <si>
    <t xml:space="preserve">Payments made</t>
  </si>
  <si>
    <t xml:space="preserve">Payments left</t>
  </si>
  <si>
    <t xml:space="preserve">Still owed</t>
  </si>
  <si>
    <t xml:space="preserve">Next payment</t>
  </si>
  <si>
    <t xml:space="preserve">Afterpay</t>
  </si>
  <si>
    <t xml:space="preserve">Headphones</t>
  </si>
  <si>
    <t xml:space="preserve">Klarna</t>
  </si>
  <si>
    <t xml:space="preserve">Shoes</t>
  </si>
  <si>
    <t xml:space="preserve">Affirm</t>
  </si>
  <si>
    <t xml:space="preserve">Jacket</t>
  </si>
  <si>
    <t xml:space="preserve">PayPal Pay in 4</t>
  </si>
  <si>
    <t xml:space="preserve">Groceries and household bits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</si>
</sst>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[RED]&quot;-$&quot;#,##0.00;\-"/>
    <numFmt numFmtId="166" formatCode="yyyy\-mm\-dd"/>
    <numFmt numFmtId="16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5607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4B8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9" min="6" style="0" width="12"/>
    <col collapsed="false" customWidth="true" hidden="false" outlineLevel="0" max="10" min="10" style="0" width="13"/>
  </cols>
  <sheetData>
    <row r="1" customFormat="false" ht="19.7" hidden="false" customHeight="false" outlineLevel="0" collapsed="false">
      <c r="A1" s="1" t="s">
        <v>11</v>
      </c>
    </row>
    <row r="2" customFormat="false" ht="15" hidden="false" customHeight="false" outlineLevel="0" collapsed="false">
      <c r="A2" s="4" t="s">
        <v>12</v>
      </c>
    </row>
    <row r="3" customFormat="false" ht="15" hidden="false" customHeight="false" outlineLevel="0" collapsed="false">
      <c r="A3" s="5" t="s">
        <v>13</v>
      </c>
      <c r="B3" s="6" t="n">
        <f aca="false">SUM(I8:I22)</f>
        <v>420</v>
      </c>
    </row>
    <row r="4" customFormat="false" ht="15" hidden="false" customHeight="false" outlineLevel="0" collapsed="false">
      <c r="A4" s="5" t="s">
        <v>14</v>
      </c>
      <c r="B4" s="6" t="n">
        <f aca="true">SUMIFS(F8:F22,J8:J22,"&gt;="&amp;TODAY(),J8:J22,"&lt;"&amp;(TODAY()+14))</f>
        <v>0</v>
      </c>
      <c r="C4" s="4" t="s">
        <v>15</v>
      </c>
    </row>
    <row r="5" customFormat="false" ht="15" hidden="false" customHeight="false" outlineLevel="0" collapsed="false">
      <c r="A5" s="5" t="s">
        <v>16</v>
      </c>
      <c r="B5" s="5" t="n">
        <f aca="false">COUNTIF(I8:I22,"&gt;0")</f>
        <v>4</v>
      </c>
    </row>
    <row r="7" customFormat="false" ht="31.5" hidden="false" customHeight="true" outlineLevel="0" collapsed="false">
      <c r="A7" s="7" t="s">
        <v>17</v>
      </c>
      <c r="B7" s="7" t="s">
        <v>18</v>
      </c>
      <c r="C7" s="8" t="s">
        <v>19</v>
      </c>
      <c r="D7" s="8" t="s">
        <v>20</v>
      </c>
      <c r="E7" s="7" t="s">
        <v>21</v>
      </c>
      <c r="F7" s="8" t="s">
        <v>22</v>
      </c>
      <c r="G7" s="8" t="s">
        <v>23</v>
      </c>
      <c r="H7" s="8" t="s">
        <v>24</v>
      </c>
      <c r="I7" s="8" t="s">
        <v>25</v>
      </c>
      <c r="J7" s="7" t="s">
        <v>26</v>
      </c>
    </row>
    <row r="8" customFormat="false" ht="15" hidden="false" customHeight="false" outlineLevel="0" collapsed="false">
      <c r="A8" s="9" t="s">
        <v>27</v>
      </c>
      <c r="B8" s="9" t="s">
        <v>28</v>
      </c>
      <c r="C8" s="10" t="n">
        <v>200</v>
      </c>
      <c r="D8" s="9" t="n">
        <v>4</v>
      </c>
      <c r="E8" s="11" t="n">
        <v>46346</v>
      </c>
      <c r="F8" s="12" t="n">
        <f aca="false">IF(OR(N(C8)=0,N(D8)=0),"",C8/D8)</f>
        <v>50</v>
      </c>
      <c r="G8" s="9" t="n">
        <v>1</v>
      </c>
      <c r="H8" s="13" t="n">
        <f aca="false">IF(F8="","",MAX(0,D8-N(G8)))</f>
        <v>3</v>
      </c>
      <c r="I8" s="12" t="n">
        <f aca="false">IF(F8="","",F8*H8)</f>
        <v>150</v>
      </c>
      <c r="J8" s="14" t="n">
        <f aca="false">IF(OR(F8="",H8=0,E8=""),"",E8+14*N(G8))</f>
        <v>46360</v>
      </c>
    </row>
    <row r="9" customFormat="false" ht="15" hidden="false" customHeight="false" outlineLevel="0" collapsed="false">
      <c r="A9" s="9" t="s">
        <v>29</v>
      </c>
      <c r="B9" s="9" t="s">
        <v>30</v>
      </c>
      <c r="C9" s="10" t="n">
        <v>120</v>
      </c>
      <c r="D9" s="9" t="n">
        <v>4</v>
      </c>
      <c r="E9" s="11" t="n">
        <v>46346</v>
      </c>
      <c r="F9" s="12" t="n">
        <f aca="false">IF(OR(N(C9)=0,N(D9)=0),"",C9/D9)</f>
        <v>30</v>
      </c>
      <c r="G9" s="9" t="n">
        <v>1</v>
      </c>
      <c r="H9" s="13" t="n">
        <f aca="false">IF(F9="","",MAX(0,D9-N(G9)))</f>
        <v>3</v>
      </c>
      <c r="I9" s="12" t="n">
        <f aca="false">IF(F9="","",F9*H9)</f>
        <v>90</v>
      </c>
      <c r="J9" s="14" t="n">
        <f aca="false">IF(OR(F9="",H9=0,E9=""),"",E9+14*N(G9))</f>
        <v>46360</v>
      </c>
    </row>
    <row r="10" customFormat="false" ht="15" hidden="false" customHeight="false" outlineLevel="0" collapsed="false">
      <c r="A10" s="9" t="s">
        <v>31</v>
      </c>
      <c r="B10" s="9" t="s">
        <v>32</v>
      </c>
      <c r="C10" s="10" t="n">
        <v>160</v>
      </c>
      <c r="D10" s="9" t="n">
        <v>4</v>
      </c>
      <c r="E10" s="11" t="n">
        <v>46353</v>
      </c>
      <c r="F10" s="12" t="n">
        <f aca="false">IF(OR(N(C10)=0,N(D10)=0),"",C10/D10)</f>
        <v>40</v>
      </c>
      <c r="G10" s="9" t="n">
        <v>1</v>
      </c>
      <c r="H10" s="13" t="n">
        <f aca="false">IF(F10="","",MAX(0,D10-N(G10)))</f>
        <v>3</v>
      </c>
      <c r="I10" s="12" t="n">
        <f aca="false">IF(F10="","",F10*H10)</f>
        <v>120</v>
      </c>
      <c r="J10" s="14" t="n">
        <f aca="false">IF(OR(F10="",H10=0,E10=""),"",E10+14*N(G10))</f>
        <v>46367</v>
      </c>
    </row>
    <row r="11" customFormat="false" ht="15" hidden="false" customHeight="false" outlineLevel="0" collapsed="false">
      <c r="A11" s="9" t="s">
        <v>33</v>
      </c>
      <c r="B11" s="9" t="s">
        <v>34</v>
      </c>
      <c r="C11" s="10" t="n">
        <v>80</v>
      </c>
      <c r="D11" s="9" t="n">
        <v>4</v>
      </c>
      <c r="E11" s="11" t="n">
        <v>46353</v>
      </c>
      <c r="F11" s="12" t="n">
        <f aca="false">IF(OR(N(C11)=0,N(D11)=0),"",C11/D11)</f>
        <v>20</v>
      </c>
      <c r="G11" s="9" t="n">
        <v>1</v>
      </c>
      <c r="H11" s="13" t="n">
        <f aca="false">IF(F11="","",MAX(0,D11-N(G11)))</f>
        <v>3</v>
      </c>
      <c r="I11" s="12" t="n">
        <f aca="false">IF(F11="","",F11*H11)</f>
        <v>60</v>
      </c>
      <c r="J11" s="14" t="n">
        <f aca="false">IF(OR(F11="",H11=0,E11=""),"",E11+14*N(G11))</f>
        <v>46367</v>
      </c>
    </row>
    <row r="12" customFormat="false" ht="15" hidden="false" customHeight="false" outlineLevel="0" collapsed="false">
      <c r="A12" s="9"/>
      <c r="B12" s="9"/>
      <c r="C12" s="10"/>
      <c r="D12" s="9"/>
      <c r="E12" s="11"/>
      <c r="F12" s="12" t="str">
        <f aca="false">IF(OR(N(C12)=0,N(D12)=0),"",C12/D12)</f>
        <v/>
      </c>
      <c r="G12" s="9"/>
      <c r="H12" s="13" t="str">
        <f aca="false">IF(F12="","",MAX(0,D12-N(G12)))</f>
        <v/>
      </c>
      <c r="I12" s="12" t="str">
        <f aca="false">IF(F12="","",F12*H12)</f>
        <v/>
      </c>
      <c r="J12" s="14" t="str">
        <f aca="false">IF(OR(F12="",H12=0,E12=""),"",E12+14*N(G12))</f>
        <v/>
      </c>
    </row>
    <row r="13" customFormat="false" ht="15" hidden="false" customHeight="false" outlineLevel="0" collapsed="false">
      <c r="A13" s="9"/>
      <c r="B13" s="9"/>
      <c r="C13" s="10"/>
      <c r="D13" s="9"/>
      <c r="E13" s="11"/>
      <c r="F13" s="12" t="str">
        <f aca="false">IF(OR(N(C13)=0,N(D13)=0),"",C13/D13)</f>
        <v/>
      </c>
      <c r="G13" s="9"/>
      <c r="H13" s="13" t="str">
        <f aca="false">IF(F13="","",MAX(0,D13-N(G13)))</f>
        <v/>
      </c>
      <c r="I13" s="12" t="str">
        <f aca="false">IF(F13="","",F13*H13)</f>
        <v/>
      </c>
      <c r="J13" s="14" t="str">
        <f aca="false">IF(OR(F13="",H13=0,E13=""),"",E13+14*N(G13))</f>
        <v/>
      </c>
    </row>
    <row r="14" customFormat="false" ht="15" hidden="false" customHeight="false" outlineLevel="0" collapsed="false">
      <c r="A14" s="9"/>
      <c r="B14" s="9"/>
      <c r="C14" s="10"/>
      <c r="D14" s="9"/>
      <c r="E14" s="11"/>
      <c r="F14" s="12" t="str">
        <f aca="false">IF(OR(N(C14)=0,N(D14)=0),"",C14/D14)</f>
        <v/>
      </c>
      <c r="G14" s="9"/>
      <c r="H14" s="13" t="str">
        <f aca="false">IF(F14="","",MAX(0,D14-N(G14)))</f>
        <v/>
      </c>
      <c r="I14" s="12" t="str">
        <f aca="false">IF(F14="","",F14*H14)</f>
        <v/>
      </c>
      <c r="J14" s="14" t="str">
        <f aca="false">IF(OR(F14="",H14=0,E14=""),"",E14+14*N(G14))</f>
        <v/>
      </c>
    </row>
    <row r="15" customFormat="false" ht="15" hidden="false" customHeight="false" outlineLevel="0" collapsed="false">
      <c r="A15" s="9"/>
      <c r="B15" s="9"/>
      <c r="C15" s="10"/>
      <c r="D15" s="9"/>
      <c r="E15" s="11"/>
      <c r="F15" s="12" t="str">
        <f aca="false">IF(OR(N(C15)=0,N(D15)=0),"",C15/D15)</f>
        <v/>
      </c>
      <c r="G15" s="9"/>
      <c r="H15" s="13" t="str">
        <f aca="false">IF(F15="","",MAX(0,D15-N(G15)))</f>
        <v/>
      </c>
      <c r="I15" s="12" t="str">
        <f aca="false">IF(F15="","",F15*H15)</f>
        <v/>
      </c>
      <c r="J15" s="14" t="str">
        <f aca="false">IF(OR(F15="",H15=0,E15=""),"",E15+14*N(G15))</f>
        <v/>
      </c>
    </row>
    <row r="16" customFormat="false" ht="15" hidden="false" customHeight="false" outlineLevel="0" collapsed="false">
      <c r="A16" s="9"/>
      <c r="B16" s="9"/>
      <c r="C16" s="10"/>
      <c r="D16" s="9"/>
      <c r="E16" s="11"/>
      <c r="F16" s="12" t="str">
        <f aca="false">IF(OR(N(C16)=0,N(D16)=0),"",C16/D16)</f>
        <v/>
      </c>
      <c r="G16" s="9"/>
      <c r="H16" s="13" t="str">
        <f aca="false">IF(F16="","",MAX(0,D16-N(G16)))</f>
        <v/>
      </c>
      <c r="I16" s="12" t="str">
        <f aca="false">IF(F16="","",F16*H16)</f>
        <v/>
      </c>
      <c r="J16" s="14" t="str">
        <f aca="false">IF(OR(F16="",H16=0,E16=""),"",E16+14*N(G16))</f>
        <v/>
      </c>
    </row>
    <row r="17" customFormat="false" ht="15" hidden="false" customHeight="false" outlineLevel="0" collapsed="false">
      <c r="A17" s="9"/>
      <c r="B17" s="9"/>
      <c r="C17" s="10"/>
      <c r="D17" s="9"/>
      <c r="E17" s="11"/>
      <c r="F17" s="12" t="str">
        <f aca="false">IF(OR(N(C17)=0,N(D17)=0),"",C17/D17)</f>
        <v/>
      </c>
      <c r="G17" s="9"/>
      <c r="H17" s="13" t="str">
        <f aca="false">IF(F17="","",MAX(0,D17-N(G17)))</f>
        <v/>
      </c>
      <c r="I17" s="12" t="str">
        <f aca="false">IF(F17="","",F17*H17)</f>
        <v/>
      </c>
      <c r="J17" s="14" t="str">
        <f aca="false">IF(OR(F17="",H17=0,E17=""),"",E17+14*N(G17))</f>
        <v/>
      </c>
    </row>
    <row r="18" customFormat="false" ht="15" hidden="false" customHeight="false" outlineLevel="0" collapsed="false">
      <c r="A18" s="9"/>
      <c r="B18" s="9"/>
      <c r="C18" s="10"/>
      <c r="D18" s="9"/>
      <c r="E18" s="11"/>
      <c r="F18" s="12" t="str">
        <f aca="false">IF(OR(N(C18)=0,N(D18)=0),"",C18/D18)</f>
        <v/>
      </c>
      <c r="G18" s="9"/>
      <c r="H18" s="13" t="str">
        <f aca="false">IF(F18="","",MAX(0,D18-N(G18)))</f>
        <v/>
      </c>
      <c r="I18" s="12" t="str">
        <f aca="false">IF(F18="","",F18*H18)</f>
        <v/>
      </c>
      <c r="J18" s="14" t="str">
        <f aca="false">IF(OR(F18="",H18=0,E18=""),"",E18+14*N(G18))</f>
        <v/>
      </c>
    </row>
    <row r="19" customFormat="false" ht="15" hidden="false" customHeight="false" outlineLevel="0" collapsed="false">
      <c r="A19" s="9"/>
      <c r="B19" s="9"/>
      <c r="C19" s="10"/>
      <c r="D19" s="9"/>
      <c r="E19" s="11"/>
      <c r="F19" s="12" t="str">
        <f aca="false">IF(OR(N(C19)=0,N(D19)=0),"",C19/D19)</f>
        <v/>
      </c>
      <c r="G19" s="9"/>
      <c r="H19" s="13" t="str">
        <f aca="false">IF(F19="","",MAX(0,D19-N(G19)))</f>
        <v/>
      </c>
      <c r="I19" s="12" t="str">
        <f aca="false">IF(F19="","",F19*H19)</f>
        <v/>
      </c>
      <c r="J19" s="14" t="str">
        <f aca="false">IF(OR(F19="",H19=0,E19=""),"",E19+14*N(G19))</f>
        <v/>
      </c>
    </row>
    <row r="20" customFormat="false" ht="15" hidden="false" customHeight="false" outlineLevel="0" collapsed="false">
      <c r="A20" s="9"/>
      <c r="B20" s="9"/>
      <c r="C20" s="10"/>
      <c r="D20" s="9"/>
      <c r="E20" s="11"/>
      <c r="F20" s="12" t="str">
        <f aca="false">IF(OR(N(C20)=0,N(D20)=0),"",C20/D20)</f>
        <v/>
      </c>
      <c r="G20" s="9"/>
      <c r="H20" s="13" t="str">
        <f aca="false">IF(F20="","",MAX(0,D20-N(G20)))</f>
        <v/>
      </c>
      <c r="I20" s="12" t="str">
        <f aca="false">IF(F20="","",F20*H20)</f>
        <v/>
      </c>
      <c r="J20" s="14" t="str">
        <f aca="false">IF(OR(F20="",H20=0,E20=""),"",E20+14*N(G20))</f>
        <v/>
      </c>
    </row>
    <row r="21" customFormat="false" ht="15" hidden="false" customHeight="false" outlineLevel="0" collapsed="false">
      <c r="A21" s="9"/>
      <c r="B21" s="9"/>
      <c r="C21" s="10"/>
      <c r="D21" s="9"/>
      <c r="E21" s="11"/>
      <c r="F21" s="12" t="str">
        <f aca="false">IF(OR(N(C21)=0,N(D21)=0),"",C21/D21)</f>
        <v/>
      </c>
      <c r="G21" s="9"/>
      <c r="H21" s="13" t="str">
        <f aca="false">IF(F21="","",MAX(0,D21-N(G21)))</f>
        <v/>
      </c>
      <c r="I21" s="12" t="str">
        <f aca="false">IF(F21="","",F21*H21)</f>
        <v/>
      </c>
      <c r="J21" s="14" t="str">
        <f aca="false">IF(OR(F21="",H21=0,E21=""),"",E21+14*N(G21))</f>
        <v/>
      </c>
    </row>
    <row r="22" customFormat="false" ht="15" hidden="false" customHeight="false" outlineLevel="0" collapsed="false">
      <c r="A22" s="9"/>
      <c r="B22" s="9"/>
      <c r="C22" s="10"/>
      <c r="D22" s="9"/>
      <c r="E22" s="11"/>
      <c r="F22" s="12" t="str">
        <f aca="false">IF(OR(N(C22)=0,N(D22)=0),"",C22/D22)</f>
        <v/>
      </c>
      <c r="G22" s="9"/>
      <c r="H22" s="13" t="str">
        <f aca="false">IF(F22="","",MAX(0,D22-N(G22)))</f>
        <v/>
      </c>
      <c r="I22" s="12" t="str">
        <f aca="false">IF(F22="","",F22*H22)</f>
        <v/>
      </c>
      <c r="J22" s="14" t="str">
        <f aca="false">IF(OR(F22="",H22=0,E22=""),"",E22+14*N(G22))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2026-10-20T13:00:31Z</dcterms:created>
  <dc:creator>openpyxl</dc:creator>
  <dc:description/>
  <dc:language>en-US</dc:language>
  <cp:lastModifiedBy/>
  <dcterms:modified xsi:type="dcterms:W3CDTF">2026-10-20T13:00:31Z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