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Compare" sheetId="2" state="visible" r:id="rId4"/>
    <sheet name="Month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<sst xmlns="http://schemas.openxmlformats.org/spreadsheetml/2006/main" count="42" uniqueCount="42">
  <si>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Minimum payment payoff planner</t>
  </si>
  <si>
    <t xml:space="preserve">How to use it</t>
  </si>
  <si>
    <t xml:space="preserve">1. Type your balance, the APR and how your card works out its minimum (look in your cardholder agreement).</t>
  </si>
  <si>
    <t xml:space="preserve">2. Type an extra amount you could add on top of your first minimum.</t>
  </si>
  <si>
    <t xml:space="preserve">3. The Compare tab shows three paths: minimum only, freezing your first minimum, and the frozen payment plus extra.</t>
  </si>
  <si>
    <t xml:space="preserve">4. The Months tab shows every month for all three paths.</t>
  </si>
  <si>
    <t xml:space="preserve">Assumes no new spending on the card and simple monthly interest. Your issuer's numbers will differ slightly.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</si>
  <si>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</si>
  <si>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</si>
  <si>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https://guidelark.com/blog/minimum-payment-trap/</t>
  </si>
  <si>
    <t xml:space="preserve">Free to use and share. General information, not financial advice.</t>
  </si>
  <si>
    <t xml:space="preserve">What paying the minimum really costs</t>
  </si>
  <si>
    <t xml:space="preserve">Balance</t>
  </si>
  <si>
    <t xml:space="preserve">APR</t>
  </si>
  <si>
    <t xml:space="preserve">Minimum: % of balance</t>
  </si>
  <si>
    <t xml:space="preserve">Minimum adds that month's interest?</t>
  </si>
  <si>
    <t xml:space="preserve">Yes</t>
  </si>
  <si>
    <t xml:space="preserve">Large issuers usually use 1% plus interest. Some use a flat 2% to 3%.</t>
  </si>
  <si>
    <t xml:space="preserve">Minimum floor</t>
  </si>
  <si>
    <t xml:space="preserve">Extra on top of the first minimum</t>
  </si>
  <si>
    <t xml:space="preserve">Your first minimum</t>
  </si>
  <si>
    <t xml:space="preserve">Path</t>
  </si>
  <si>
    <t xml:space="preserve">Monthly payment</t>
  </si>
  <si>
    <t xml:space="preserve">Months to clear</t>
  </si>
  <si>
    <t xml:space="preserve">Years</t>
  </si>
  <si>
    <t xml:space="preserve">Interest paid</t>
  </si>
  <si>
    <t xml:space="preserve">Total paid</t>
  </si>
  <si>
    <t xml:space="preserve">Minimum only</t>
  </si>
  <si>
    <t xml:space="preserve">Freeze your first minimum</t>
  </si>
  <si>
    <t xml:space="preserve">Frozen plus extra</t>
  </si>
  <si>
    <t xml:space="preserve">Freezing the payment means you keep paying your first minimum even as the required minimum falls.</t>
  </si>
  <si>
    <t xml:space="preserve">Month by month (calculated)</t>
  </si>
  <si>
    <t xml:space="preserve">Month</t>
  </si>
  <si>
    <t xml:space="preserve">Min only: end balance</t>
  </si>
  <si>
    <t xml:space="preserve">Min only: interest</t>
  </si>
  <si>
    <t xml:space="preserve">Min only: paid</t>
  </si>
  <si>
    <t xml:space="preserve">Frozen: end balance</t>
  </si>
  <si>
    <t xml:space="preserve">Frozen: interest</t>
  </si>
  <si>
    <t xml:space="preserve">Frozen: paid</t>
  </si>
  <si>
    <t xml:space="preserve">Plus extra: end balance</t>
  </si>
  <si>
    <t xml:space="preserve">Plus extra: interest</t>
  </si>
  <si>
    <t xml:space="preserve">Plus extra: paid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</si>
</sst>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-$&quot;#,##0.00;\-"/>
    <numFmt numFmtId="166" formatCode="0.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3000</v>
      </c>
    </row>
    <row r="4" customFormat="false" ht="15" hidden="false" customHeight="false" outlineLevel="0" collapsed="false">
      <c r="A4" s="4" t="s">
        <v>13</v>
      </c>
      <c r="B4" s="6" t="n">
        <v>0.22</v>
      </c>
    </row>
    <row r="5" customFormat="false" ht="15" hidden="false" customHeight="false" outlineLevel="0" collapsed="false">
      <c r="A5" s="4" t="s">
        <v>14</v>
      </c>
      <c r="B5" s="6" t="n">
        <v>0.01</v>
      </c>
    </row>
    <row r="6" customFormat="false" ht="15" hidden="false" customHeight="false" outlineLevel="0" collapsed="false">
      <c r="A6" s="4" t="s">
        <v>15</v>
      </c>
      <c r="B6" s="7" t="s">
        <v>16</v>
      </c>
      <c r="C6" s="8" t="s">
        <v>17</v>
      </c>
    </row>
    <row r="7" customFormat="false" ht="15" hidden="false" customHeight="false" outlineLevel="0" collapsed="false">
      <c r="A7" s="4" t="s">
        <v>18</v>
      </c>
      <c r="B7" s="5" t="n">
        <v>25</v>
      </c>
    </row>
    <row r="8" customFormat="false" ht="15" hidden="false" customHeight="false" outlineLevel="0" collapsed="false">
      <c r="A8" s="4" t="s">
        <v>19</v>
      </c>
      <c r="B8" s="5" t="n">
        <v>25</v>
      </c>
    </row>
    <row r="9" customFormat="false" ht="15" hidden="false" customHeight="false" outlineLevel="0" collapsed="false">
      <c r="A9" s="4" t="s">
        <v>20</v>
      </c>
      <c r="B9" s="9" t="n">
        <f aca="false">MIN(B3*(1+B4/12),MAX(B7,B3*B5+IF(B6="Yes",B3*B4/12,0)))</f>
        <v>85</v>
      </c>
    </row>
    <row r="11" customFormat="false" ht="30" hidden="false" customHeight="true" outlineLevel="0" collapsed="false">
      <c r="A11" s="10" t="s">
        <v>21</v>
      </c>
      <c r="B11" s="11" t="s">
        <v>22</v>
      </c>
      <c r="C11" s="11" t="s">
        <v>23</v>
      </c>
      <c r="D11" s="11" t="s">
        <v>24</v>
      </c>
      <c r="E11" s="11" t="s">
        <v>25</v>
      </c>
      <c r="F11" s="11" t="s">
        <v>26</v>
      </c>
    </row>
    <row r="12" customFormat="false" ht="15" hidden="false" customHeight="false" outlineLevel="0" collapsed="false">
      <c r="A12" s="12" t="s">
        <v>27</v>
      </c>
      <c r="B12" s="13" t="str">
        <f aca="false">"Falls each month"</f>
        <v>Falls each month</v>
      </c>
      <c r="C12" s="14" t="n">
        <f aca="false">IF(COUNTIF(Months!B4:B603,"&gt;0.005")&gt;=600,"Over 50 years",COUNTIF(Months!B4:B603,"&gt;0.005")+1)</f>
        <v>180</v>
      </c>
      <c r="D12" s="14" t="str">
        <f aca="false">IF(ISNUMBER(C12),INT(C12/12)&amp;" yr "&amp;MOD(C12,12)&amp;" mo","")</f>
        <v>15 yr 0 mo</v>
      </c>
      <c r="E12" s="13" t="n">
        <f aca="false">SUM(Months!C4:C603)</f>
        <v>4433.12025624324</v>
      </c>
      <c r="F12" s="13" t="n">
        <f aca="false">$B$3+E12</f>
        <v>7433.12025624324</v>
      </c>
    </row>
    <row r="13" customFormat="false" ht="15" hidden="false" customHeight="false" outlineLevel="0" collapsed="false">
      <c r="A13" s="12" t="s">
        <v>28</v>
      </c>
      <c r="B13" s="13" t="n">
        <f aca="false">B9</f>
        <v>85</v>
      </c>
      <c r="C13" s="14" t="n">
        <f aca="false">IF(COUNTIF(Months!E4:E603,"&gt;0.005")&gt;=600,"Over 50 years",COUNTIF(Months!E4:E603,"&gt;0.005")+1)</f>
        <v>58</v>
      </c>
      <c r="D13" s="14" t="str">
        <f aca="false">IF(ISNUMBER(C13),INT(C13/12)&amp;" yr "&amp;MOD(C13,12)&amp;" mo","")</f>
        <v>4 yr 10 mo</v>
      </c>
      <c r="E13" s="13" t="n">
        <f aca="false">SUM(Months!F4:F603)</f>
        <v>1872.85640030029</v>
      </c>
      <c r="F13" s="13" t="n">
        <f aca="false">$B$3+E13</f>
        <v>4872.85640030029</v>
      </c>
    </row>
    <row r="14" customFormat="false" ht="15" hidden="false" customHeight="false" outlineLevel="0" collapsed="false">
      <c r="A14" s="12" t="s">
        <v>29</v>
      </c>
      <c r="B14" s="13" t="n">
        <f aca="false">B9+B8</f>
        <v>110</v>
      </c>
      <c r="C14" s="14" t="n">
        <f aca="false">IF(COUNTIF(Months!H4:H603,"&gt;0.005")&gt;=600,"Over 50 years",COUNTIF(Months!H4:H603,"&gt;0.005")+1)</f>
        <v>39</v>
      </c>
      <c r="D14" s="14" t="str">
        <f aca="false">IF(ISNUMBER(C14),INT(C14/12)&amp;" yr "&amp;MOD(C14,12)&amp;" mo","")</f>
        <v>3 yr 3 mo</v>
      </c>
      <c r="E14" s="13" t="n">
        <f aca="false">SUM(Months!I4:I603)</f>
        <v>1197.02088881385</v>
      </c>
      <c r="F14" s="13" t="n">
        <f aca="false">$B$3+E14</f>
        <v>4197.02088881385</v>
      </c>
    </row>
    <row r="16" customFormat="false" ht="15" hidden="false" customHeight="false" outlineLevel="0" collapsed="false">
      <c r="A16" s="8" t="s">
        <v>30</v>
      </c>
    </row>
  </sheetData>
  <dataValidations count="1">
    <dataValidation allowBlank="true" errorStyle="stop" operator="between" showDropDown="false" showErrorMessage="false" showInputMessage="false" sqref="B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4"/>
  </cols>
  <sheetData>
    <row r="1" customFormat="false" ht="19.7" hidden="false" customHeight="false" outlineLevel="0" collapsed="false">
      <c r="A1" s="1" t="s">
        <v>31</v>
      </c>
    </row>
    <row r="3" customFormat="false" ht="26.85" hidden="false" customHeight="false" outlineLevel="0" collapsed="false">
      <c r="A3" s="10" t="s">
        <v>32</v>
      </c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  <c r="H3" s="11" t="s">
        <v>39</v>
      </c>
      <c r="I3" s="11" t="s">
        <v>40</v>
      </c>
      <c r="J3" s="11" t="s">
        <v>41</v>
      </c>
    </row>
    <row r="4" customFormat="false" ht="15" hidden="false" customHeight="false" outlineLevel="0" collapsed="false">
      <c r="A4" s="3" t="n">
        <v>1</v>
      </c>
      <c r="B4" s="15" t="n">
        <f aca="false">MAX(0,Compare!$B$3+C4-D4)</f>
        <v>2970</v>
      </c>
      <c r="C4" s="15" t="n">
        <f aca="false">IF(Compare!$B$3&lt;=0.005,0,Compare!$B$3*Compare!$B$4/12)</f>
        <v>55</v>
      </c>
      <c r="D4" s="15" t="n">
        <f aca="false">IF(Compare!$B$3&lt;=0.005,0,MIN(Compare!$B$3+C4,MAX(Compare!$B$7,Compare!$B$3*Compare!$B$5+IF(Compare!$B$6="Yes",C4,0))))</f>
        <v>85</v>
      </c>
      <c r="E4" s="15" t="n">
        <f aca="false">MAX(0,Compare!$B$3+F4-G4)</f>
        <v>2970</v>
      </c>
      <c r="F4" s="15" t="n">
        <f aca="false">IF(Compare!$B$3&lt;=0.005,0,Compare!$B$3*Compare!$B$4/12)</f>
        <v>55</v>
      </c>
      <c r="G4" s="15" t="n">
        <f aca="false">IF(Compare!$B$3&lt;=0.005,0,MIN(Compare!$B$3+F4,Compare!$B$9))</f>
        <v>85</v>
      </c>
      <c r="H4" s="15" t="n">
        <f aca="false">MAX(0,Compare!$B$3+I4-J4)</f>
        <v>2945</v>
      </c>
      <c r="I4" s="15" t="n">
        <f aca="false">IF(Compare!$B$3&lt;=0.005,0,Compare!$B$3*Compare!$B$4/12)</f>
        <v>55</v>
      </c>
      <c r="J4" s="15" t="n">
        <f aca="false">IF(Compare!$B$3&lt;=0.005,0,MIN(Compare!$B$3+I4,Compare!$B$9+Compare!$B$8))</f>
        <v>110</v>
      </c>
    </row>
    <row r="5" customFormat="false" ht="15" hidden="false" customHeight="false" outlineLevel="0" collapsed="false">
      <c r="A5" s="3" t="n">
        <v>2</v>
      </c>
      <c r="B5" s="15" t="n">
        <f aca="false">MAX(0,B4+C5-D5)</f>
        <v>2940.3</v>
      </c>
      <c r="C5" s="15" t="n">
        <f aca="false">IF(B4&lt;=0.005,0,B4*Compare!$B$4/12)</f>
        <v>54.45</v>
      </c>
      <c r="D5" s="15" t="n">
        <f aca="false">IF(B4&lt;=0.005,0,MIN(B4+C5,MAX(Compare!$B$7,B4*Compare!$B$5+IF(Compare!$B$6="Yes",C5,0))))</f>
        <v>84.15</v>
      </c>
      <c r="E5" s="15" t="n">
        <f aca="false">MAX(0,E4+F5-G5)</f>
        <v>2939.45</v>
      </c>
      <c r="F5" s="15" t="n">
        <f aca="false">IF(E4&lt;=0.005,0,E4*Compare!$B$4/12)</f>
        <v>54.45</v>
      </c>
      <c r="G5" s="15" t="n">
        <f aca="false">IF(E4&lt;=0.005,0,MIN(E4+F5,Compare!$B$9))</f>
        <v>85</v>
      </c>
      <c r="H5" s="15" t="n">
        <f aca="false">MAX(0,H4+I5-J5)</f>
        <v>2888.99166666667</v>
      </c>
      <c r="I5" s="15" t="n">
        <f aca="false">IF(H4&lt;=0.005,0,H4*Compare!$B$4/12)</f>
        <v>53.9916666666667</v>
      </c>
      <c r="J5" s="15" t="n">
        <f aca="false">IF(H4&lt;=0.005,0,MIN(H4+I5,Compare!$B$9+Compare!$B$8))</f>
        <v>110</v>
      </c>
    </row>
    <row r="6" customFormat="false" ht="15" hidden="false" customHeight="false" outlineLevel="0" collapsed="false">
      <c r="A6" s="3" t="n">
        <v>3</v>
      </c>
      <c r="B6" s="15" t="n">
        <f aca="false">MAX(0,B5+C6-D6)</f>
        <v>2910.897</v>
      </c>
      <c r="C6" s="15" t="n">
        <f aca="false">IF(B5&lt;=0.005,0,B5*Compare!$B$4/12)</f>
        <v>53.9055</v>
      </c>
      <c r="D6" s="15" t="n">
        <f aca="false">IF(B5&lt;=0.005,0,MIN(B5+C6,MAX(Compare!$B$7,B5*Compare!$B$5+IF(Compare!$B$6="Yes",C6,0))))</f>
        <v>83.3085</v>
      </c>
      <c r="E6" s="15" t="n">
        <f aca="false">MAX(0,E5+F6-G6)</f>
        <v>2908.33991666667</v>
      </c>
      <c r="F6" s="15" t="n">
        <f aca="false">IF(E5&lt;=0.005,0,E5*Compare!$B$4/12)</f>
        <v>53.8899166666667</v>
      </c>
      <c r="G6" s="15" t="n">
        <f aca="false">IF(E5&lt;=0.005,0,MIN(E5+F6,Compare!$B$9))</f>
        <v>85</v>
      </c>
      <c r="H6" s="15" t="n">
        <f aca="false">MAX(0,H5+I6-J6)</f>
        <v>2831.95651388889</v>
      </c>
      <c r="I6" s="15" t="n">
        <f aca="false">IF(H5&lt;=0.005,0,H5*Compare!$B$4/12)</f>
        <v>52.9648472222222</v>
      </c>
      <c r="J6" s="15" t="n">
        <f aca="false">IF(H5&lt;=0.005,0,MIN(H5+I6,Compare!$B$9+Compare!$B$8))</f>
        <v>110</v>
      </c>
    </row>
    <row r="7" customFormat="false" ht="15" hidden="false" customHeight="false" outlineLevel="0" collapsed="false">
      <c r="A7" s="3" t="n">
        <v>4</v>
      </c>
      <c r="B7" s="15" t="n">
        <f aca="false">MAX(0,B6+C7-D7)</f>
        <v>2881.78803</v>
      </c>
      <c r="C7" s="15" t="n">
        <f aca="false">IF(B6&lt;=0.005,0,B6*Compare!$B$4/12)</f>
        <v>53.366445</v>
      </c>
      <c r="D7" s="15" t="n">
        <f aca="false">IF(B6&lt;=0.005,0,MIN(B6+C7,MAX(Compare!$B$7,B6*Compare!$B$5+IF(Compare!$B$6="Yes",C7,0))))</f>
        <v>82.475415</v>
      </c>
      <c r="E7" s="15" t="n">
        <f aca="false">MAX(0,E6+F7-G7)</f>
        <v>2876.65948180556</v>
      </c>
      <c r="F7" s="15" t="n">
        <f aca="false">IF(E6&lt;=0.005,0,E6*Compare!$B$4/12)</f>
        <v>53.3195651388889</v>
      </c>
      <c r="G7" s="15" t="n">
        <f aca="false">IF(E6&lt;=0.005,0,MIN(E6+F7,Compare!$B$9))</f>
        <v>85</v>
      </c>
      <c r="H7" s="15" t="n">
        <f aca="false">MAX(0,H6+I7-J7)</f>
        <v>2773.87571664352</v>
      </c>
      <c r="I7" s="15" t="n">
        <f aca="false">IF(H6&lt;=0.005,0,H6*Compare!$B$4/12)</f>
        <v>51.9192027546296</v>
      </c>
      <c r="J7" s="15" t="n">
        <f aca="false">IF(H6&lt;=0.005,0,MIN(H6+I7,Compare!$B$9+Compare!$B$8))</f>
        <v>110</v>
      </c>
    </row>
    <row r="8" customFormat="false" ht="15" hidden="false" customHeight="false" outlineLevel="0" collapsed="false">
      <c r="A8" s="3" t="n">
        <v>5</v>
      </c>
      <c r="B8" s="15" t="n">
        <f aca="false">MAX(0,B7+C8-D8)</f>
        <v>2852.9701497</v>
      </c>
      <c r="C8" s="15" t="n">
        <f aca="false">IF(B7&lt;=0.005,0,B7*Compare!$B$4/12)</f>
        <v>52.83278055</v>
      </c>
      <c r="D8" s="15" t="n">
        <f aca="false">IF(B7&lt;=0.005,0,MIN(B7+C8,MAX(Compare!$B$7,B7*Compare!$B$5+IF(Compare!$B$6="Yes",C8,0))))</f>
        <v>81.65066085</v>
      </c>
      <c r="E8" s="15" t="n">
        <f aca="false">MAX(0,E7+F8-G8)</f>
        <v>2844.39823897199</v>
      </c>
      <c r="F8" s="15" t="n">
        <f aca="false">IF(E7&lt;=0.005,0,E7*Compare!$B$4/12)</f>
        <v>52.7387571664352</v>
      </c>
      <c r="G8" s="15" t="n">
        <f aca="false">IF(E7&lt;=0.005,0,MIN(E7+F8,Compare!$B$9))</f>
        <v>85</v>
      </c>
      <c r="H8" s="15" t="n">
        <f aca="false">MAX(0,H7+I8-J8)</f>
        <v>2714.73010478198</v>
      </c>
      <c r="I8" s="15" t="n">
        <f aca="false">IF(H7&lt;=0.005,0,H7*Compare!$B$4/12)</f>
        <v>50.8543881384645</v>
      </c>
      <c r="J8" s="15" t="n">
        <f aca="false">IF(H7&lt;=0.005,0,MIN(H7+I8,Compare!$B$9+Compare!$B$8))</f>
        <v>110</v>
      </c>
    </row>
    <row r="9" customFormat="false" ht="15" hidden="false" customHeight="false" outlineLevel="0" collapsed="false">
      <c r="A9" s="3" t="n">
        <v>6</v>
      </c>
      <c r="B9" s="15" t="n">
        <f aca="false">MAX(0,B8+C9-D9)</f>
        <v>2824.440448203</v>
      </c>
      <c r="C9" s="15" t="n">
        <f aca="false">IF(B8&lt;=0.005,0,B8*Compare!$B$4/12)</f>
        <v>52.3044527445</v>
      </c>
      <c r="D9" s="15" t="n">
        <f aca="false">IF(B8&lt;=0.005,0,MIN(B8+C9,MAX(Compare!$B$7,B8*Compare!$B$5+IF(Compare!$B$6="Yes",C9,0))))</f>
        <v>80.8341542415</v>
      </c>
      <c r="E9" s="15" t="n">
        <f aca="false">MAX(0,E8+F9-G9)</f>
        <v>2811.54554001981</v>
      </c>
      <c r="F9" s="15" t="n">
        <f aca="false">IF(E8&lt;=0.005,0,E8*Compare!$B$4/12)</f>
        <v>52.1473010478198</v>
      </c>
      <c r="G9" s="15" t="n">
        <f aca="false">IF(E8&lt;=0.005,0,MIN(E8+F9,Compare!$B$9))</f>
        <v>85</v>
      </c>
      <c r="H9" s="15" t="n">
        <f aca="false">MAX(0,H8+I9-J9)</f>
        <v>2654.50015670299</v>
      </c>
      <c r="I9" s="15" t="n">
        <f aca="false">IF(H8&lt;=0.005,0,H8*Compare!$B$4/12)</f>
        <v>49.770051921003</v>
      </c>
      <c r="J9" s="15" t="n">
        <f aca="false">IF(H8&lt;=0.005,0,MIN(H8+I9,Compare!$B$9+Compare!$B$8))</f>
        <v>110</v>
      </c>
    </row>
    <row r="10" customFormat="false" ht="15" hidden="false" customHeight="false" outlineLevel="0" collapsed="false">
      <c r="A10" s="3" t="n">
        <v>7</v>
      </c>
      <c r="B10" s="15" t="n">
        <f aca="false">MAX(0,B9+C10-D10)</f>
        <v>2796.19604372097</v>
      </c>
      <c r="C10" s="15" t="n">
        <f aca="false">IF(B9&lt;=0.005,0,B9*Compare!$B$4/12)</f>
        <v>51.781408217055</v>
      </c>
      <c r="D10" s="15" t="n">
        <f aca="false">IF(B9&lt;=0.005,0,MIN(B9+C10,MAX(Compare!$B$7,B9*Compare!$B$5+IF(Compare!$B$6="Yes",C10,0))))</f>
        <v>80.025812699085</v>
      </c>
      <c r="E10" s="15" t="n">
        <f aca="false">MAX(0,E9+F10-G10)</f>
        <v>2778.09054158684</v>
      </c>
      <c r="F10" s="15" t="n">
        <f aca="false">IF(E9&lt;=0.005,0,E9*Compare!$B$4/12)</f>
        <v>51.5450015670299</v>
      </c>
      <c r="G10" s="15" t="n">
        <f aca="false">IF(E9&lt;=0.005,0,MIN(E9+F10,Compare!$B$9))</f>
        <v>85</v>
      </c>
      <c r="H10" s="15" t="n">
        <f aca="false">MAX(0,H9+I10-J10)</f>
        <v>2593.16599290921</v>
      </c>
      <c r="I10" s="15" t="n">
        <f aca="false">IF(H9&lt;=0.005,0,H9*Compare!$B$4/12)</f>
        <v>48.6658362062214</v>
      </c>
      <c r="J10" s="15" t="n">
        <f aca="false">IF(H9&lt;=0.005,0,MIN(H9+I10,Compare!$B$9+Compare!$B$8))</f>
        <v>110</v>
      </c>
    </row>
    <row r="11" customFormat="false" ht="15" hidden="false" customHeight="false" outlineLevel="0" collapsed="false">
      <c r="A11" s="3" t="n">
        <v>8</v>
      </c>
      <c r="B11" s="15" t="n">
        <f aca="false">MAX(0,B10+C11-D11)</f>
        <v>2768.23408328376</v>
      </c>
      <c r="C11" s="15" t="n">
        <f aca="false">IF(B10&lt;=0.005,0,B10*Compare!$B$4/12)</f>
        <v>51.2635941348844</v>
      </c>
      <c r="D11" s="15" t="n">
        <f aca="false">IF(B10&lt;=0.005,0,MIN(B10+C11,MAX(Compare!$B$7,B10*Compare!$B$5+IF(Compare!$B$6="Yes",C11,0))))</f>
        <v>79.2255545720941</v>
      </c>
      <c r="E11" s="15" t="n">
        <f aca="false">MAX(0,E10+F11-G11)</f>
        <v>2744.02220151593</v>
      </c>
      <c r="F11" s="15" t="n">
        <f aca="false">IF(E10&lt;=0.005,0,E10*Compare!$B$4/12)</f>
        <v>50.9316599290921</v>
      </c>
      <c r="G11" s="15" t="n">
        <f aca="false">IF(E10&lt;=0.005,0,MIN(E10+F11,Compare!$B$9))</f>
        <v>85</v>
      </c>
      <c r="H11" s="15" t="n">
        <f aca="false">MAX(0,H10+I11-J11)</f>
        <v>2530.70736944588</v>
      </c>
      <c r="I11" s="15" t="n">
        <f aca="false">IF(H10&lt;=0.005,0,H10*Compare!$B$4/12)</f>
        <v>47.5413765366688</v>
      </c>
      <c r="J11" s="15" t="n">
        <f aca="false">IF(H10&lt;=0.005,0,MIN(H10+I11,Compare!$B$9+Compare!$B$8))</f>
        <v>110</v>
      </c>
    </row>
    <row r="12" customFormat="false" ht="15" hidden="false" customHeight="false" outlineLevel="0" collapsed="false">
      <c r="A12" s="3" t="n">
        <v>9</v>
      </c>
      <c r="B12" s="15" t="n">
        <f aca="false">MAX(0,B11+C12-D12)</f>
        <v>2740.55174245092</v>
      </c>
      <c r="C12" s="15" t="n">
        <f aca="false">IF(B11&lt;=0.005,0,B11*Compare!$B$4/12)</f>
        <v>50.7509581935356</v>
      </c>
      <c r="D12" s="15" t="n">
        <f aca="false">IF(B11&lt;=0.005,0,MIN(B11+C12,MAX(Compare!$B$7,B11*Compare!$B$5+IF(Compare!$B$6="Yes",C12,0))))</f>
        <v>78.4332990263732</v>
      </c>
      <c r="E12" s="15" t="n">
        <f aca="false">MAX(0,E11+F12-G12)</f>
        <v>2709.32927521039</v>
      </c>
      <c r="F12" s="15" t="n">
        <f aca="false">IF(E11&lt;=0.005,0,E11*Compare!$B$4/12)</f>
        <v>50.3070736944588</v>
      </c>
      <c r="G12" s="15" t="n">
        <f aca="false">IF(E11&lt;=0.005,0,MIN(E11+F12,Compare!$B$9))</f>
        <v>85</v>
      </c>
      <c r="H12" s="15" t="n">
        <f aca="false">MAX(0,H11+I12-J12)</f>
        <v>2467.10367121905</v>
      </c>
      <c r="I12" s="15" t="n">
        <f aca="false">IF(H11&lt;=0.005,0,H11*Compare!$B$4/12)</f>
        <v>46.3963017731744</v>
      </c>
      <c r="J12" s="15" t="n">
        <f aca="false">IF(H11&lt;=0.005,0,MIN(H11+I12,Compare!$B$9+Compare!$B$8))</f>
        <v>110</v>
      </c>
    </row>
    <row r="13" customFormat="false" ht="15" hidden="false" customHeight="false" outlineLevel="0" collapsed="false">
      <c r="A13" s="3" t="n">
        <v>10</v>
      </c>
      <c r="B13" s="15" t="n">
        <f aca="false">MAX(0,B12+C13-D13)</f>
        <v>2713.14622502641</v>
      </c>
      <c r="C13" s="15" t="n">
        <f aca="false">IF(B12&lt;=0.005,0,B12*Compare!$B$4/12)</f>
        <v>50.2434486116002</v>
      </c>
      <c r="D13" s="15" t="n">
        <f aca="false">IF(B12&lt;=0.005,0,MIN(B12+C13,MAX(Compare!$B$7,B12*Compare!$B$5+IF(Compare!$B$6="Yes",C13,0))))</f>
        <v>77.6489660361095</v>
      </c>
      <c r="E13" s="15" t="n">
        <f aca="false">MAX(0,E12+F13-G13)</f>
        <v>2674.00031192258</v>
      </c>
      <c r="F13" s="15" t="n">
        <f aca="false">IF(E12&lt;=0.005,0,E12*Compare!$B$4/12)</f>
        <v>49.6710367121905</v>
      </c>
      <c r="G13" s="15" t="n">
        <f aca="false">IF(E12&lt;=0.005,0,MIN(E12+F13,Compare!$B$9))</f>
        <v>85</v>
      </c>
      <c r="H13" s="15" t="n">
        <f aca="false">MAX(0,H12+I13-J13)</f>
        <v>2402.3339051914</v>
      </c>
      <c r="I13" s="15" t="n">
        <f aca="false">IF(H12&lt;=0.005,0,H12*Compare!$B$4/12)</f>
        <v>45.2302339723493</v>
      </c>
      <c r="J13" s="15" t="n">
        <f aca="false">IF(H12&lt;=0.005,0,MIN(H12+I13,Compare!$B$9+Compare!$B$8))</f>
        <v>110</v>
      </c>
    </row>
    <row r="14" customFormat="false" ht="15" hidden="false" customHeight="false" outlineLevel="0" collapsed="false">
      <c r="A14" s="3" t="n">
        <v>11</v>
      </c>
      <c r="B14" s="15" t="n">
        <f aca="false">MAX(0,B13+C14-D14)</f>
        <v>2686.01476277615</v>
      </c>
      <c r="C14" s="15" t="n">
        <f aca="false">IF(B13&lt;=0.005,0,B13*Compare!$B$4/12)</f>
        <v>49.7410141254842</v>
      </c>
      <c r="D14" s="15" t="n">
        <f aca="false">IF(B13&lt;=0.005,0,MIN(B13+C14,MAX(Compare!$B$7,B13*Compare!$B$5+IF(Compare!$B$6="Yes",C14,0))))</f>
        <v>76.8724763757484</v>
      </c>
      <c r="E14" s="15" t="n">
        <f aca="false">MAX(0,E13+F14-G14)</f>
        <v>2638.0236509745</v>
      </c>
      <c r="F14" s="15" t="n">
        <f aca="false">IF(E13&lt;=0.005,0,E13*Compare!$B$4/12)</f>
        <v>49.023339051914</v>
      </c>
      <c r="G14" s="15" t="n">
        <f aca="false">IF(E13&lt;=0.005,0,MIN(E13+F14,Compare!$B$9))</f>
        <v>85</v>
      </c>
      <c r="H14" s="15" t="n">
        <f aca="false">MAX(0,H13+I14-J14)</f>
        <v>2336.37669345324</v>
      </c>
      <c r="I14" s="15" t="n">
        <f aca="false">IF(H13&lt;=0.005,0,H13*Compare!$B$4/12)</f>
        <v>44.0427882618423</v>
      </c>
      <c r="J14" s="15" t="n">
        <f aca="false">IF(H13&lt;=0.005,0,MIN(H13+I14,Compare!$B$9+Compare!$B$8))</f>
        <v>110</v>
      </c>
    </row>
    <row r="15" customFormat="false" ht="15" hidden="false" customHeight="false" outlineLevel="0" collapsed="false">
      <c r="A15" s="3" t="n">
        <v>12</v>
      </c>
      <c r="B15" s="15" t="n">
        <f aca="false">MAX(0,B14+C15-D15)</f>
        <v>2659.15461514839</v>
      </c>
      <c r="C15" s="15" t="n">
        <f aca="false">IF(B14&lt;=0.005,0,B14*Compare!$B$4/12)</f>
        <v>49.2436039842294</v>
      </c>
      <c r="D15" s="15" t="n">
        <f aca="false">IF(B14&lt;=0.005,0,MIN(B14+C15,MAX(Compare!$B$7,B14*Compare!$B$5+IF(Compare!$B$6="Yes",C15,0))))</f>
        <v>76.1037516119909</v>
      </c>
      <c r="E15" s="15" t="n">
        <f aca="false">MAX(0,E14+F15-G15)</f>
        <v>2601.38741790903</v>
      </c>
      <c r="F15" s="15" t="n">
        <f aca="false">IF(E14&lt;=0.005,0,E14*Compare!$B$4/12)</f>
        <v>48.3637669345324</v>
      </c>
      <c r="G15" s="15" t="n">
        <f aca="false">IF(E14&lt;=0.005,0,MIN(E14+F15,Compare!$B$9))</f>
        <v>85</v>
      </c>
      <c r="H15" s="15" t="n">
        <f aca="false">MAX(0,H14+I15-J15)</f>
        <v>2269.21026616655</v>
      </c>
      <c r="I15" s="15" t="n">
        <f aca="false">IF(H14&lt;=0.005,0,H14*Compare!$B$4/12)</f>
        <v>42.8335727133094</v>
      </c>
      <c r="J15" s="15" t="n">
        <f aca="false">IF(H14&lt;=0.005,0,MIN(H14+I15,Compare!$B$9+Compare!$B$8))</f>
        <v>110</v>
      </c>
    </row>
    <row r="16" customFormat="false" ht="15" hidden="false" customHeight="false" outlineLevel="0" collapsed="false">
      <c r="A16" s="3" t="n">
        <v>13</v>
      </c>
      <c r="B16" s="15" t="n">
        <f aca="false">MAX(0,B15+C16-D16)</f>
        <v>2632.5630689969</v>
      </c>
      <c r="C16" s="15" t="n">
        <f aca="false">IF(B15&lt;=0.005,0,B15*Compare!$B$4/12)</f>
        <v>48.7511679443871</v>
      </c>
      <c r="D16" s="15" t="n">
        <f aca="false">IF(B15&lt;=0.005,0,MIN(B15+C16,MAX(Compare!$B$7,B15*Compare!$B$5+IF(Compare!$B$6="Yes",C16,0))))</f>
        <v>75.342714095871</v>
      </c>
      <c r="E16" s="15" t="n">
        <f aca="false">MAX(0,E15+F16-G16)</f>
        <v>2564.07952057069</v>
      </c>
      <c r="F16" s="15" t="n">
        <f aca="false">IF(E15&lt;=0.005,0,E15*Compare!$B$4/12)</f>
        <v>47.6921026616655</v>
      </c>
      <c r="G16" s="15" t="n">
        <f aca="false">IF(E15&lt;=0.005,0,MIN(E15+F16,Compare!$B$9))</f>
        <v>85</v>
      </c>
      <c r="H16" s="15" t="n">
        <f aca="false">MAX(0,H15+I16-J16)</f>
        <v>2200.81245437961</v>
      </c>
      <c r="I16" s="15" t="n">
        <f aca="false">IF(H15&lt;=0.005,0,H15*Compare!$B$4/12)</f>
        <v>41.6021882130534</v>
      </c>
      <c r="J16" s="15" t="n">
        <f aca="false">IF(H15&lt;=0.005,0,MIN(H15+I16,Compare!$B$9+Compare!$B$8))</f>
        <v>110</v>
      </c>
    </row>
    <row r="17" customFormat="false" ht="15" hidden="false" customHeight="false" outlineLevel="0" collapsed="false">
      <c r="A17" s="3" t="n">
        <v>14</v>
      </c>
      <c r="B17" s="15" t="n">
        <f aca="false">MAX(0,B16+C17-D17)</f>
        <v>2606.23743830693</v>
      </c>
      <c r="C17" s="15" t="n">
        <f aca="false">IF(B16&lt;=0.005,0,B16*Compare!$B$4/12)</f>
        <v>48.2636562649432</v>
      </c>
      <c r="D17" s="15" t="n">
        <f aca="false">IF(B16&lt;=0.005,0,MIN(B16+C17,MAX(Compare!$B$7,B16*Compare!$B$5+IF(Compare!$B$6="Yes",C17,0))))</f>
        <v>74.5892869549123</v>
      </c>
      <c r="E17" s="15" t="n">
        <f aca="false">MAX(0,E16+F17-G17)</f>
        <v>2526.08764511449</v>
      </c>
      <c r="F17" s="15" t="n">
        <f aca="false">IF(E16&lt;=0.005,0,E16*Compare!$B$4/12)</f>
        <v>47.008124543796</v>
      </c>
      <c r="G17" s="15" t="n">
        <f aca="false">IF(E16&lt;=0.005,0,MIN(E16+F17,Compare!$B$9))</f>
        <v>85</v>
      </c>
      <c r="H17" s="15" t="n">
        <f aca="false">MAX(0,H16+I17-J17)</f>
        <v>2131.1606827099</v>
      </c>
      <c r="I17" s="15" t="n">
        <f aca="false">IF(H16&lt;=0.005,0,H16*Compare!$B$4/12)</f>
        <v>40.3482283302928</v>
      </c>
      <c r="J17" s="15" t="n">
        <f aca="false">IF(H16&lt;=0.005,0,MIN(H16+I17,Compare!$B$9+Compare!$B$8))</f>
        <v>110</v>
      </c>
    </row>
    <row r="18" customFormat="false" ht="15" hidden="false" customHeight="false" outlineLevel="0" collapsed="false">
      <c r="A18" s="3" t="n">
        <v>15</v>
      </c>
      <c r="B18" s="15" t="n">
        <f aca="false">MAX(0,B17+C18-D18)</f>
        <v>2580.17506392387</v>
      </c>
      <c r="C18" s="15" t="n">
        <f aca="false">IF(B17&lt;=0.005,0,B17*Compare!$B$4/12)</f>
        <v>47.7810197022938</v>
      </c>
      <c r="D18" s="15" t="n">
        <f aca="false">IF(B17&lt;=0.005,0,MIN(B17+C18,MAX(Compare!$B$7,B17*Compare!$B$5+IF(Compare!$B$6="Yes",C18,0))))</f>
        <v>73.8433940853631</v>
      </c>
      <c r="E18" s="15" t="n">
        <f aca="false">MAX(0,E17+F18-G18)</f>
        <v>2487.39925194159</v>
      </c>
      <c r="F18" s="15" t="n">
        <f aca="false">IF(E17&lt;=0.005,0,E17*Compare!$B$4/12)</f>
        <v>46.311606827099</v>
      </c>
      <c r="G18" s="15" t="n">
        <f aca="false">IF(E17&lt;=0.005,0,MIN(E17+F18,Compare!$B$9))</f>
        <v>85</v>
      </c>
      <c r="H18" s="15" t="n">
        <f aca="false">MAX(0,H17+I18-J18)</f>
        <v>2060.23196189291</v>
      </c>
      <c r="I18" s="15" t="n">
        <f aca="false">IF(H17&lt;=0.005,0,H17*Compare!$B$4/12)</f>
        <v>39.0712791830148</v>
      </c>
      <c r="J18" s="15" t="n">
        <f aca="false">IF(H17&lt;=0.005,0,MIN(H17+I18,Compare!$B$9+Compare!$B$8))</f>
        <v>110</v>
      </c>
    </row>
    <row r="19" customFormat="false" ht="15" hidden="false" customHeight="false" outlineLevel="0" collapsed="false">
      <c r="A19" s="3" t="n">
        <v>16</v>
      </c>
      <c r="B19" s="15" t="n">
        <f aca="false">MAX(0,B18+C19-D19)</f>
        <v>2554.37331328463</v>
      </c>
      <c r="C19" s="15" t="n">
        <f aca="false">IF(B18&lt;=0.005,0,B18*Compare!$B$4/12)</f>
        <v>47.3032095052709</v>
      </c>
      <c r="D19" s="15" t="n">
        <f aca="false">IF(B18&lt;=0.005,0,MIN(B18+C19,MAX(Compare!$B$7,B18*Compare!$B$5+IF(Compare!$B$6="Yes",C19,0))))</f>
        <v>73.1049601445095</v>
      </c>
      <c r="E19" s="15" t="n">
        <f aca="false">MAX(0,E18+F19-G19)</f>
        <v>2448.00157156052</v>
      </c>
      <c r="F19" s="15" t="n">
        <f aca="false">IF(E18&lt;=0.005,0,E18*Compare!$B$4/12)</f>
        <v>45.6023196189291</v>
      </c>
      <c r="G19" s="15" t="n">
        <f aca="false">IF(E18&lt;=0.005,0,MIN(E18+F19,Compare!$B$9))</f>
        <v>85</v>
      </c>
      <c r="H19" s="15" t="n">
        <f aca="false">MAX(0,H18+I19-J19)</f>
        <v>1988.00288119428</v>
      </c>
      <c r="I19" s="15" t="n">
        <f aca="false">IF(H18&lt;=0.005,0,H18*Compare!$B$4/12)</f>
        <v>37.7709193013701</v>
      </c>
      <c r="J19" s="15" t="n">
        <f aca="false">IF(H18&lt;=0.005,0,MIN(H18+I19,Compare!$B$9+Compare!$B$8))</f>
        <v>110</v>
      </c>
    </row>
    <row r="20" customFormat="false" ht="15" hidden="false" customHeight="false" outlineLevel="0" collapsed="false">
      <c r="A20" s="3" t="n">
        <v>17</v>
      </c>
      <c r="B20" s="15" t="n">
        <f aca="false">MAX(0,B19+C20-D20)</f>
        <v>2528.82958015178</v>
      </c>
      <c r="C20" s="15" t="n">
        <f aca="false">IF(B19&lt;=0.005,0,B19*Compare!$B$4/12)</f>
        <v>46.8301774102182</v>
      </c>
      <c r="D20" s="15" t="n">
        <f aca="false">IF(B19&lt;=0.005,0,MIN(B19+C20,MAX(Compare!$B$7,B19*Compare!$B$5+IF(Compare!$B$6="Yes",C20,0))))</f>
        <v>72.3739105430644</v>
      </c>
      <c r="E20" s="15" t="n">
        <f aca="false">MAX(0,E19+F20-G20)</f>
        <v>2407.88160037246</v>
      </c>
      <c r="F20" s="15" t="n">
        <f aca="false">IF(E19&lt;=0.005,0,E19*Compare!$B$4/12)</f>
        <v>44.8800288119428</v>
      </c>
      <c r="G20" s="15" t="n">
        <f aca="false">IF(E19&lt;=0.005,0,MIN(E19+F20,Compare!$B$9))</f>
        <v>85</v>
      </c>
      <c r="H20" s="15" t="n">
        <f aca="false">MAX(0,H19+I20-J20)</f>
        <v>1914.44960068284</v>
      </c>
      <c r="I20" s="15" t="n">
        <f aca="false">IF(H19&lt;=0.005,0,H19*Compare!$B$4/12)</f>
        <v>36.4467194885619</v>
      </c>
      <c r="J20" s="15" t="n">
        <f aca="false">IF(H19&lt;=0.005,0,MIN(H19+I20,Compare!$B$9+Compare!$B$8))</f>
        <v>110</v>
      </c>
    </row>
    <row r="21" customFormat="false" ht="15" hidden="false" customHeight="false" outlineLevel="0" collapsed="false">
      <c r="A21" s="3" t="n">
        <v>18</v>
      </c>
      <c r="B21" s="15" t="n">
        <f aca="false">MAX(0,B20+C21-D21)</f>
        <v>2503.54128435026</v>
      </c>
      <c r="C21" s="15" t="n">
        <f aca="false">IF(B20&lt;=0.005,0,B20*Compare!$B$4/12)</f>
        <v>46.361875636116</v>
      </c>
      <c r="D21" s="15" t="n">
        <f aca="false">IF(B20&lt;=0.005,0,MIN(B20+C21,MAX(Compare!$B$7,B20*Compare!$B$5+IF(Compare!$B$6="Yes",C21,0))))</f>
        <v>71.6501714376338</v>
      </c>
      <c r="E21" s="15" t="n">
        <f aca="false">MAX(0,E20+F21-G21)</f>
        <v>2367.02609637929</v>
      </c>
      <c r="F21" s="15" t="n">
        <f aca="false">IF(E20&lt;=0.005,0,E20*Compare!$B$4/12)</f>
        <v>44.1444960068284</v>
      </c>
      <c r="G21" s="15" t="n">
        <f aca="false">IF(E20&lt;=0.005,0,MIN(E20+F21,Compare!$B$9))</f>
        <v>85</v>
      </c>
      <c r="H21" s="15" t="n">
        <f aca="false">MAX(0,H20+I21-J21)</f>
        <v>1839.54784336203</v>
      </c>
      <c r="I21" s="15" t="n">
        <f aca="false">IF(H20&lt;=0.005,0,H20*Compare!$B$4/12)</f>
        <v>35.0982426791855</v>
      </c>
      <c r="J21" s="15" t="n">
        <f aca="false">IF(H20&lt;=0.005,0,MIN(H20+I21,Compare!$B$9+Compare!$B$8))</f>
        <v>110</v>
      </c>
    </row>
    <row r="22" customFormat="false" ht="15" hidden="false" customHeight="false" outlineLevel="0" collapsed="false">
      <c r="A22" s="3" t="n">
        <v>19</v>
      </c>
      <c r="B22" s="15" t="n">
        <f aca="false">MAX(0,B21+C22-D22)</f>
        <v>2478.50587150676</v>
      </c>
      <c r="C22" s="15" t="n">
        <f aca="false">IF(B21&lt;=0.005,0,B21*Compare!$B$4/12)</f>
        <v>45.8982568797548</v>
      </c>
      <c r="D22" s="15" t="n">
        <f aca="false">IF(B21&lt;=0.005,0,MIN(B21+C22,MAX(Compare!$B$7,B21*Compare!$B$5+IF(Compare!$B$6="Yes",C22,0))))</f>
        <v>70.9336697232575</v>
      </c>
      <c r="E22" s="15" t="n">
        <f aca="false">MAX(0,E21+F22-G22)</f>
        <v>2325.42157481291</v>
      </c>
      <c r="F22" s="15" t="n">
        <f aca="false">IF(E21&lt;=0.005,0,E21*Compare!$B$4/12)</f>
        <v>43.3954784336203</v>
      </c>
      <c r="G22" s="15" t="n">
        <f aca="false">IF(E21&lt;=0.005,0,MIN(E21+F22,Compare!$B$9))</f>
        <v>85</v>
      </c>
      <c r="H22" s="15" t="n">
        <f aca="false">MAX(0,H21+I22-J22)</f>
        <v>1763.272887157</v>
      </c>
      <c r="I22" s="15" t="n">
        <f aca="false">IF(H21&lt;=0.005,0,H21*Compare!$B$4/12)</f>
        <v>33.7250437949705</v>
      </c>
      <c r="J22" s="15" t="n">
        <f aca="false">IF(H21&lt;=0.005,0,MIN(H21+I22,Compare!$B$9+Compare!$B$8))</f>
        <v>110</v>
      </c>
    </row>
    <row r="23" customFormat="false" ht="15" hidden="false" customHeight="false" outlineLevel="0" collapsed="false">
      <c r="A23" s="3" t="n">
        <v>20</v>
      </c>
      <c r="B23" s="15" t="n">
        <f aca="false">MAX(0,B22+C23-D23)</f>
        <v>2453.72081279169</v>
      </c>
      <c r="C23" s="15" t="n">
        <f aca="false">IF(B22&lt;=0.005,0,B22*Compare!$B$4/12)</f>
        <v>45.4392743109573</v>
      </c>
      <c r="D23" s="15" t="n">
        <f aca="false">IF(B22&lt;=0.005,0,MIN(B22+C23,MAX(Compare!$B$7,B22*Compare!$B$5+IF(Compare!$B$6="Yes",C23,0))))</f>
        <v>70.2243330260249</v>
      </c>
      <c r="E23" s="15" t="n">
        <f aca="false">MAX(0,E22+F23-G23)</f>
        <v>2283.05430368448</v>
      </c>
      <c r="F23" s="15" t="n">
        <f aca="false">IF(E22&lt;=0.005,0,E22*Compare!$B$4/12)</f>
        <v>42.63272887157</v>
      </c>
      <c r="G23" s="15" t="n">
        <f aca="false">IF(E22&lt;=0.005,0,MIN(E22+F23,Compare!$B$9))</f>
        <v>85</v>
      </c>
      <c r="H23" s="15" t="n">
        <f aca="false">MAX(0,H22+I23-J23)</f>
        <v>1685.59955675488</v>
      </c>
      <c r="I23" s="15" t="n">
        <f aca="false">IF(H22&lt;=0.005,0,H22*Compare!$B$4/12)</f>
        <v>32.3266695978783</v>
      </c>
      <c r="J23" s="15" t="n">
        <f aca="false">IF(H22&lt;=0.005,0,MIN(H22+I23,Compare!$B$9+Compare!$B$8))</f>
        <v>110</v>
      </c>
    </row>
    <row r="24" customFormat="false" ht="15" hidden="false" customHeight="false" outlineLevel="0" collapsed="false">
      <c r="A24" s="3" t="n">
        <v>21</v>
      </c>
      <c r="B24" s="15" t="n">
        <f aca="false">MAX(0,B23+C24-D24)</f>
        <v>2429.18360466378</v>
      </c>
      <c r="C24" s="15" t="n">
        <f aca="false">IF(B23&lt;=0.005,0,B23*Compare!$B$4/12)</f>
        <v>44.9848815678477</v>
      </c>
      <c r="D24" s="15" t="n">
        <f aca="false">IF(B23&lt;=0.005,0,MIN(B23+C24,MAX(Compare!$B$7,B23*Compare!$B$5+IF(Compare!$B$6="Yes",C24,0))))</f>
        <v>69.5220896957646</v>
      </c>
      <c r="E24" s="15" t="n">
        <f aca="false">MAX(0,E23+F24-G24)</f>
        <v>2239.91029925203</v>
      </c>
      <c r="F24" s="15" t="n">
        <f aca="false">IF(E23&lt;=0.005,0,E23*Compare!$B$4/12)</f>
        <v>41.8559955675488</v>
      </c>
      <c r="G24" s="15" t="n">
        <f aca="false">IF(E23&lt;=0.005,0,MIN(E23+F24,Compare!$B$9))</f>
        <v>85</v>
      </c>
      <c r="H24" s="15" t="n">
        <f aca="false">MAX(0,H23+I24-J24)</f>
        <v>1606.50221529539</v>
      </c>
      <c r="I24" s="15" t="n">
        <f aca="false">IF(H23&lt;=0.005,0,H23*Compare!$B$4/12)</f>
        <v>30.9026585405061</v>
      </c>
      <c r="J24" s="15" t="n">
        <f aca="false">IF(H23&lt;=0.005,0,MIN(H23+I24,Compare!$B$9+Compare!$B$8))</f>
        <v>110</v>
      </c>
    </row>
    <row r="25" customFormat="false" ht="15" hidden="false" customHeight="false" outlineLevel="0" collapsed="false">
      <c r="A25" s="3" t="n">
        <v>22</v>
      </c>
      <c r="B25" s="15" t="n">
        <f aca="false">MAX(0,B24+C25-D25)</f>
        <v>2404.89176861714</v>
      </c>
      <c r="C25" s="15" t="n">
        <f aca="false">IF(B24&lt;=0.005,0,B24*Compare!$B$4/12)</f>
        <v>44.5350327521692</v>
      </c>
      <c r="D25" s="15" t="n">
        <f aca="false">IF(B24&lt;=0.005,0,MIN(B24+C25,MAX(Compare!$B$7,B24*Compare!$B$5+IF(Compare!$B$6="Yes",C25,0))))</f>
        <v>68.826868798807</v>
      </c>
      <c r="E25" s="15" t="n">
        <f aca="false">MAX(0,E24+F25-G25)</f>
        <v>2195.97532140498</v>
      </c>
      <c r="F25" s="15" t="n">
        <f aca="false">IF(E24&lt;=0.005,0,E24*Compare!$B$4/12)</f>
        <v>41.0650221529538</v>
      </c>
      <c r="G25" s="15" t="n">
        <f aca="false">IF(E24&lt;=0.005,0,MIN(E24+F25,Compare!$B$9))</f>
        <v>85</v>
      </c>
      <c r="H25" s="15" t="n">
        <f aca="false">MAX(0,H24+I25-J25)</f>
        <v>1525.95475590913</v>
      </c>
      <c r="I25" s="15" t="n">
        <f aca="false">IF(H24&lt;=0.005,0,H24*Compare!$B$4/12)</f>
        <v>29.4525406137487</v>
      </c>
      <c r="J25" s="15" t="n">
        <f aca="false">IF(H24&lt;=0.005,0,MIN(H24+I25,Compare!$B$9+Compare!$B$8))</f>
        <v>110</v>
      </c>
    </row>
    <row r="26" customFormat="false" ht="15" hidden="false" customHeight="false" outlineLevel="0" collapsed="false">
      <c r="A26" s="3" t="n">
        <v>23</v>
      </c>
      <c r="B26" s="15" t="n">
        <f aca="false">MAX(0,B25+C26-D26)</f>
        <v>2380.84285093097</v>
      </c>
      <c r="C26" s="15" t="n">
        <f aca="false">IF(B25&lt;=0.005,0,B25*Compare!$B$4/12)</f>
        <v>44.0896824246475</v>
      </c>
      <c r="D26" s="15" t="n">
        <f aca="false">IF(B25&lt;=0.005,0,MIN(B25+C26,MAX(Compare!$B$7,B25*Compare!$B$5+IF(Compare!$B$6="Yes",C26,0))))</f>
        <v>68.1386001108189</v>
      </c>
      <c r="E26" s="15" t="n">
        <f aca="false">MAX(0,E25+F26-G26)</f>
        <v>2151.23486896407</v>
      </c>
      <c r="F26" s="15" t="n">
        <f aca="false">IF(E25&lt;=0.005,0,E25*Compare!$B$4/12)</f>
        <v>40.2595475590913</v>
      </c>
      <c r="G26" s="15" t="n">
        <f aca="false">IF(E25&lt;=0.005,0,MIN(E25+F26,Compare!$B$9))</f>
        <v>85</v>
      </c>
      <c r="H26" s="15" t="n">
        <f aca="false">MAX(0,H25+I26-J26)</f>
        <v>1443.9305931008</v>
      </c>
      <c r="I26" s="15" t="n">
        <f aca="false">IF(H25&lt;=0.005,0,H25*Compare!$B$4/12)</f>
        <v>27.9758371916675</v>
      </c>
      <c r="J26" s="15" t="n">
        <f aca="false">IF(H25&lt;=0.005,0,MIN(H25+I26,Compare!$B$9+Compare!$B$8))</f>
        <v>110</v>
      </c>
    </row>
    <row r="27" customFormat="false" ht="15" hidden="false" customHeight="false" outlineLevel="0" collapsed="false">
      <c r="A27" s="3" t="n">
        <v>24</v>
      </c>
      <c r="B27" s="15" t="n">
        <f aca="false">MAX(0,B26+C27-D27)</f>
        <v>2357.03442242166</v>
      </c>
      <c r="C27" s="15" t="n">
        <f aca="false">IF(B26&lt;=0.005,0,B26*Compare!$B$4/12)</f>
        <v>43.6487856004011</v>
      </c>
      <c r="D27" s="15" t="n">
        <f aca="false">IF(B26&lt;=0.005,0,MIN(B26+C27,MAX(Compare!$B$7,B26*Compare!$B$5+IF(Compare!$B$6="Yes",C27,0))))</f>
        <v>67.4572141097107</v>
      </c>
      <c r="E27" s="15" t="n">
        <f aca="false">MAX(0,E26+F27-G27)</f>
        <v>2105.67417489508</v>
      </c>
      <c r="F27" s="15" t="n">
        <f aca="false">IF(E26&lt;=0.005,0,E26*Compare!$B$4/12)</f>
        <v>39.439305931008</v>
      </c>
      <c r="G27" s="15" t="n">
        <f aca="false">IF(E26&lt;=0.005,0,MIN(E26+F27,Compare!$B$9))</f>
        <v>85</v>
      </c>
      <c r="H27" s="15" t="n">
        <f aca="false">MAX(0,H26+I27-J27)</f>
        <v>1360.40265397432</v>
      </c>
      <c r="I27" s="15" t="n">
        <f aca="false">IF(H26&lt;=0.005,0,H26*Compare!$B$4/12)</f>
        <v>26.4720608735147</v>
      </c>
      <c r="J27" s="15" t="n">
        <f aca="false">IF(H26&lt;=0.005,0,MIN(H26+I27,Compare!$B$9+Compare!$B$8))</f>
        <v>110</v>
      </c>
    </row>
    <row r="28" customFormat="false" ht="15" hidden="false" customHeight="false" outlineLevel="0" collapsed="false">
      <c r="A28" s="3" t="n">
        <v>25</v>
      </c>
      <c r="B28" s="15" t="n">
        <f aca="false">MAX(0,B27+C28-D28)</f>
        <v>2333.46407819744</v>
      </c>
      <c r="C28" s="15" t="n">
        <f aca="false">IF(B27&lt;=0.005,0,B27*Compare!$B$4/12)</f>
        <v>43.212297744397</v>
      </c>
      <c r="D28" s="15" t="n">
        <f aca="false">IF(B27&lt;=0.005,0,MIN(B27+C28,MAX(Compare!$B$7,B27*Compare!$B$5+IF(Compare!$B$6="Yes",C28,0))))</f>
        <v>66.7826419686136</v>
      </c>
      <c r="E28" s="15" t="n">
        <f aca="false">MAX(0,E27+F28-G28)</f>
        <v>2059.27820143482</v>
      </c>
      <c r="F28" s="15" t="n">
        <f aca="false">IF(E27&lt;=0.005,0,E27*Compare!$B$4/12)</f>
        <v>38.6040265397432</v>
      </c>
      <c r="G28" s="15" t="n">
        <f aca="false">IF(E27&lt;=0.005,0,MIN(E27+F28,Compare!$B$9))</f>
        <v>85</v>
      </c>
      <c r="H28" s="15" t="n">
        <f aca="false">MAX(0,H27+I28-J28)</f>
        <v>1275.34336929718</v>
      </c>
      <c r="I28" s="15" t="n">
        <f aca="false">IF(H27&lt;=0.005,0,H27*Compare!$B$4/12)</f>
        <v>24.9407153228625</v>
      </c>
      <c r="J28" s="15" t="n">
        <f aca="false">IF(H27&lt;=0.005,0,MIN(H27+I28,Compare!$B$9+Compare!$B$8))</f>
        <v>110</v>
      </c>
    </row>
    <row r="29" customFormat="false" ht="15" hidden="false" customHeight="false" outlineLevel="0" collapsed="false">
      <c r="A29" s="3" t="n">
        <v>26</v>
      </c>
      <c r="B29" s="15" t="n">
        <f aca="false">MAX(0,B28+C29-D29)</f>
        <v>2310.12943741547</v>
      </c>
      <c r="C29" s="15" t="n">
        <f aca="false">IF(B28&lt;=0.005,0,B28*Compare!$B$4/12)</f>
        <v>42.7801747669531</v>
      </c>
      <c r="D29" s="15" t="n">
        <f aca="false">IF(B28&lt;=0.005,0,MIN(B28+C29,MAX(Compare!$B$7,B28*Compare!$B$5+IF(Compare!$B$6="Yes",C29,0))))</f>
        <v>66.1148155489275</v>
      </c>
      <c r="E29" s="15" t="n">
        <f aca="false">MAX(0,E28+F29-G29)</f>
        <v>2012.0316351278</v>
      </c>
      <c r="F29" s="15" t="n">
        <f aca="false">IF(E28&lt;=0.005,0,E28*Compare!$B$4/12)</f>
        <v>37.7534336929718</v>
      </c>
      <c r="G29" s="15" t="n">
        <f aca="false">IF(E28&lt;=0.005,0,MIN(E28+F29,Compare!$B$9))</f>
        <v>85</v>
      </c>
      <c r="H29" s="15" t="n">
        <f aca="false">MAX(0,H28+I29-J29)</f>
        <v>1188.72466440096</v>
      </c>
      <c r="I29" s="15" t="n">
        <f aca="false">IF(H28&lt;=0.005,0,H28*Compare!$B$4/12)</f>
        <v>23.3812951037816</v>
      </c>
      <c r="J29" s="15" t="n">
        <f aca="false">IF(H28&lt;=0.005,0,MIN(H28+I29,Compare!$B$9+Compare!$B$8))</f>
        <v>110</v>
      </c>
    </row>
    <row r="30" customFormat="false" ht="15" hidden="false" customHeight="false" outlineLevel="0" collapsed="false">
      <c r="A30" s="3" t="n">
        <v>27</v>
      </c>
      <c r="B30" s="15" t="n">
        <f aca="false">MAX(0,B29+C30-D30)</f>
        <v>2287.02814304131</v>
      </c>
      <c r="C30" s="15" t="n">
        <f aca="false">IF(B29&lt;=0.005,0,B29*Compare!$B$4/12)</f>
        <v>42.3523730192835</v>
      </c>
      <c r="D30" s="15" t="n">
        <f aca="false">IF(B29&lt;=0.005,0,MIN(B29+C30,MAX(Compare!$B$7,B29*Compare!$B$5+IF(Compare!$B$6="Yes",C30,0))))</f>
        <v>65.4536673934382</v>
      </c>
      <c r="E30" s="15" t="n">
        <f aca="false">MAX(0,E29+F30-G30)</f>
        <v>1963.91888177181</v>
      </c>
      <c r="F30" s="15" t="n">
        <f aca="false">IF(E29&lt;=0.005,0,E29*Compare!$B$4/12)</f>
        <v>36.8872466440096</v>
      </c>
      <c r="G30" s="15" t="n">
        <f aca="false">IF(E29&lt;=0.005,0,MIN(E29+F30,Compare!$B$9))</f>
        <v>85</v>
      </c>
      <c r="H30" s="15" t="n">
        <f aca="false">MAX(0,H29+I30-J30)</f>
        <v>1100.51794991498</v>
      </c>
      <c r="I30" s="15" t="n">
        <f aca="false">IF(H29&lt;=0.005,0,H29*Compare!$B$4/12)</f>
        <v>21.7932855140176</v>
      </c>
      <c r="J30" s="15" t="n">
        <f aca="false">IF(H29&lt;=0.005,0,MIN(H29+I30,Compare!$B$9+Compare!$B$8))</f>
        <v>110</v>
      </c>
    </row>
    <row r="31" customFormat="false" ht="15" hidden="false" customHeight="false" outlineLevel="0" collapsed="false">
      <c r="A31" s="3" t="n">
        <v>28</v>
      </c>
      <c r="B31" s="15" t="n">
        <f aca="false">MAX(0,B30+C31-D31)</f>
        <v>2264.1578616109</v>
      </c>
      <c r="C31" s="15" t="n">
        <f aca="false">IF(B30&lt;=0.005,0,B30*Compare!$B$4/12)</f>
        <v>41.9288492890907</v>
      </c>
      <c r="D31" s="15" t="n">
        <f aca="false">IF(B30&lt;=0.005,0,MIN(B30+C31,MAX(Compare!$B$7,B30*Compare!$B$5+IF(Compare!$B$6="Yes",C31,0))))</f>
        <v>64.7991307195038</v>
      </c>
      <c r="E31" s="15" t="n">
        <f aca="false">MAX(0,E30+F31-G31)</f>
        <v>1914.92406127096</v>
      </c>
      <c r="F31" s="15" t="n">
        <f aca="false">IF(E30&lt;=0.005,0,E30*Compare!$B$4/12)</f>
        <v>36.0051794991498</v>
      </c>
      <c r="G31" s="15" t="n">
        <f aca="false">IF(E30&lt;=0.005,0,MIN(E30+F31,Compare!$B$9))</f>
        <v>85</v>
      </c>
      <c r="H31" s="15" t="n">
        <f aca="false">MAX(0,H30+I31-J31)</f>
        <v>1010.69411233009</v>
      </c>
      <c r="I31" s="15" t="n">
        <f aca="false">IF(H30&lt;=0.005,0,H30*Compare!$B$4/12)</f>
        <v>20.1761624151079</v>
      </c>
      <c r="J31" s="15" t="n">
        <f aca="false">IF(H30&lt;=0.005,0,MIN(H30+I31,Compare!$B$9+Compare!$B$8))</f>
        <v>110</v>
      </c>
    </row>
    <row r="32" customFormat="false" ht="15" hidden="false" customHeight="false" outlineLevel="0" collapsed="false">
      <c r="A32" s="3" t="n">
        <v>29</v>
      </c>
      <c r="B32" s="15" t="n">
        <f aca="false">MAX(0,B31+C32-D32)</f>
        <v>2241.51628299479</v>
      </c>
      <c r="C32" s="15" t="n">
        <f aca="false">IF(B31&lt;=0.005,0,B31*Compare!$B$4/12)</f>
        <v>41.5095607961998</v>
      </c>
      <c r="D32" s="15" t="n">
        <f aca="false">IF(B31&lt;=0.005,0,MIN(B31+C32,MAX(Compare!$B$7,B31*Compare!$B$5+IF(Compare!$B$6="Yes",C32,0))))</f>
        <v>64.1511394123088</v>
      </c>
      <c r="E32" s="15" t="n">
        <f aca="false">MAX(0,E31+F32-G32)</f>
        <v>1865.03100239426</v>
      </c>
      <c r="F32" s="15" t="n">
        <f aca="false">IF(E31&lt;=0.005,0,E31*Compare!$B$4/12)</f>
        <v>35.1069411233009</v>
      </c>
      <c r="G32" s="15" t="n">
        <f aca="false">IF(E31&lt;=0.005,0,MIN(E31+F32,Compare!$B$9))</f>
        <v>85</v>
      </c>
      <c r="H32" s="15" t="n">
        <f aca="false">MAX(0,H31+I32-J32)</f>
        <v>919.22350438947</v>
      </c>
      <c r="I32" s="15" t="n">
        <f aca="false">IF(H31&lt;=0.005,0,H31*Compare!$B$4/12)</f>
        <v>18.5293920593849</v>
      </c>
      <c r="J32" s="15" t="n">
        <f aca="false">IF(H31&lt;=0.005,0,MIN(H31+I32,Compare!$B$9+Compare!$B$8))</f>
        <v>110</v>
      </c>
    </row>
    <row r="33" customFormat="false" ht="15" hidden="false" customHeight="false" outlineLevel="0" collapsed="false">
      <c r="A33" s="3" t="n">
        <v>30</v>
      </c>
      <c r="B33" s="15" t="n">
        <f aca="false">MAX(0,B32+C33-D33)</f>
        <v>2219.10112016484</v>
      </c>
      <c r="C33" s="15" t="n">
        <f aca="false">IF(B32&lt;=0.005,0,B32*Compare!$B$4/12)</f>
        <v>41.0944651882378</v>
      </c>
      <c r="D33" s="15" t="n">
        <f aca="false">IF(B32&lt;=0.005,0,MIN(B32+C33,MAX(Compare!$B$7,B32*Compare!$B$5+IF(Compare!$B$6="Yes",C33,0))))</f>
        <v>63.5096280181857</v>
      </c>
      <c r="E33" s="15" t="n">
        <f aca="false">MAX(0,E32+F33-G33)</f>
        <v>1814.22323743815</v>
      </c>
      <c r="F33" s="15" t="n">
        <f aca="false">IF(E32&lt;=0.005,0,E32*Compare!$B$4/12)</f>
        <v>34.1922350438947</v>
      </c>
      <c r="G33" s="15" t="n">
        <f aca="false">IF(E32&lt;=0.005,0,MIN(E32+F33,Compare!$B$9))</f>
        <v>85</v>
      </c>
      <c r="H33" s="15" t="n">
        <f aca="false">MAX(0,H32+I33-J33)</f>
        <v>826.075935303277</v>
      </c>
      <c r="I33" s="15" t="n">
        <f aca="false">IF(H32&lt;=0.005,0,H32*Compare!$B$4/12)</f>
        <v>16.852430913807</v>
      </c>
      <c r="J33" s="15" t="n">
        <f aca="false">IF(H32&lt;=0.005,0,MIN(H32+I33,Compare!$B$9+Compare!$B$8))</f>
        <v>110</v>
      </c>
    </row>
    <row r="34" customFormat="false" ht="15" hidden="false" customHeight="false" outlineLevel="0" collapsed="false">
      <c r="A34" s="3" t="n">
        <v>31</v>
      </c>
      <c r="B34" s="15" t="n">
        <f aca="false">MAX(0,B33+C34-D34)</f>
        <v>2196.91010896319</v>
      </c>
      <c r="C34" s="15" t="n">
        <f aca="false">IF(B33&lt;=0.005,0,B33*Compare!$B$4/12)</f>
        <v>40.6835205363554</v>
      </c>
      <c r="D34" s="15" t="n">
        <f aca="false">IF(B33&lt;=0.005,0,MIN(B33+C34,MAX(Compare!$B$7,B33*Compare!$B$5+IF(Compare!$B$6="Yes",C34,0))))</f>
        <v>62.8745317380039</v>
      </c>
      <c r="E34" s="15" t="n">
        <f aca="false">MAX(0,E33+F34-G34)</f>
        <v>1762.48399679118</v>
      </c>
      <c r="F34" s="15" t="n">
        <f aca="false">IF(E33&lt;=0.005,0,E33*Compare!$B$4/12)</f>
        <v>33.2607593530328</v>
      </c>
      <c r="G34" s="15" t="n">
        <f aca="false">IF(E33&lt;=0.005,0,MIN(E33+F34,Compare!$B$9))</f>
        <v>85</v>
      </c>
      <c r="H34" s="15" t="n">
        <f aca="false">MAX(0,H33+I34-J34)</f>
        <v>731.220660783837</v>
      </c>
      <c r="I34" s="15" t="n">
        <f aca="false">IF(H33&lt;=0.005,0,H33*Compare!$B$4/12)</f>
        <v>15.1447254805601</v>
      </c>
      <c r="J34" s="15" t="n">
        <f aca="false">IF(H33&lt;=0.005,0,MIN(H33+I34,Compare!$B$9+Compare!$B$8))</f>
        <v>110</v>
      </c>
    </row>
    <row r="35" customFormat="false" ht="15" hidden="false" customHeight="false" outlineLevel="0" collapsed="false">
      <c r="A35" s="3" t="n">
        <v>32</v>
      </c>
      <c r="B35" s="15" t="n">
        <f aca="false">MAX(0,B34+C35-D35)</f>
        <v>2174.94100787356</v>
      </c>
      <c r="C35" s="15" t="n">
        <f aca="false">IF(B34&lt;=0.005,0,B34*Compare!$B$4/12)</f>
        <v>40.2766853309919</v>
      </c>
      <c r="D35" s="15" t="n">
        <f aca="false">IF(B34&lt;=0.005,0,MIN(B34+C35,MAX(Compare!$B$7,B34*Compare!$B$5+IF(Compare!$B$6="Yes",C35,0))))</f>
        <v>62.2457864206238</v>
      </c>
      <c r="E35" s="15" t="n">
        <f aca="false">MAX(0,E34+F35-G35)</f>
        <v>1709.79620339902</v>
      </c>
      <c r="F35" s="15" t="n">
        <f aca="false">IF(E34&lt;=0.005,0,E34*Compare!$B$4/12)</f>
        <v>32.3122066078384</v>
      </c>
      <c r="G35" s="15" t="n">
        <f aca="false">IF(E34&lt;=0.005,0,MIN(E34+F35,Compare!$B$9))</f>
        <v>85</v>
      </c>
      <c r="H35" s="15" t="n">
        <f aca="false">MAX(0,H34+I35-J35)</f>
        <v>634.626372898208</v>
      </c>
      <c r="I35" s="15" t="n">
        <f aca="false">IF(H34&lt;=0.005,0,H34*Compare!$B$4/12)</f>
        <v>13.4057121143704</v>
      </c>
      <c r="J35" s="15" t="n">
        <f aca="false">IF(H34&lt;=0.005,0,MIN(H34+I35,Compare!$B$9+Compare!$B$8))</f>
        <v>110</v>
      </c>
    </row>
    <row r="36" customFormat="false" ht="15" hidden="false" customHeight="false" outlineLevel="0" collapsed="false">
      <c r="A36" s="3" t="n">
        <v>33</v>
      </c>
      <c r="B36" s="15" t="n">
        <f aca="false">MAX(0,B35+C36-D36)</f>
        <v>2153.19159779483</v>
      </c>
      <c r="C36" s="15" t="n">
        <f aca="false">IF(B35&lt;=0.005,0,B35*Compare!$B$4/12)</f>
        <v>39.873918477682</v>
      </c>
      <c r="D36" s="15" t="n">
        <f aca="false">IF(B35&lt;=0.005,0,MIN(B35+C36,MAX(Compare!$B$7,B35*Compare!$B$5+IF(Compare!$B$6="Yes",C36,0))))</f>
        <v>61.6233285564176</v>
      </c>
      <c r="E36" s="15" t="n">
        <f aca="false">MAX(0,E35+F36-G36)</f>
        <v>1656.142467128</v>
      </c>
      <c r="F36" s="15" t="n">
        <f aca="false">IF(E35&lt;=0.005,0,E35*Compare!$B$4/12)</f>
        <v>31.3462637289821</v>
      </c>
      <c r="G36" s="15" t="n">
        <f aca="false">IF(E35&lt;=0.005,0,MIN(E35+F36,Compare!$B$9))</f>
        <v>85</v>
      </c>
      <c r="H36" s="15" t="n">
        <f aca="false">MAX(0,H35+I36-J36)</f>
        <v>536.261189734675</v>
      </c>
      <c r="I36" s="15" t="n">
        <f aca="false">IF(H35&lt;=0.005,0,H35*Compare!$B$4/12)</f>
        <v>11.6348168364671</v>
      </c>
      <c r="J36" s="15" t="n">
        <f aca="false">IF(H35&lt;=0.005,0,MIN(H35+I36,Compare!$B$9+Compare!$B$8))</f>
        <v>110</v>
      </c>
    </row>
    <row r="37" customFormat="false" ht="15" hidden="false" customHeight="false" outlineLevel="0" collapsed="false">
      <c r="A37" s="3" t="n">
        <v>34</v>
      </c>
      <c r="B37" s="15" t="n">
        <f aca="false">MAX(0,B36+C37-D37)</f>
        <v>2131.65968181688</v>
      </c>
      <c r="C37" s="15" t="n">
        <f aca="false">IF(B36&lt;=0.005,0,B36*Compare!$B$4/12)</f>
        <v>39.4751792929051</v>
      </c>
      <c r="D37" s="15" t="n">
        <f aca="false">IF(B36&lt;=0.005,0,MIN(B36+C37,MAX(Compare!$B$7,B36*Compare!$B$5+IF(Compare!$B$6="Yes",C37,0))))</f>
        <v>61.0070952708534</v>
      </c>
      <c r="E37" s="15" t="n">
        <f aca="false">MAX(0,E36+F37-G37)</f>
        <v>1601.50507902535</v>
      </c>
      <c r="F37" s="15" t="n">
        <f aca="false">IF(E36&lt;=0.005,0,E36*Compare!$B$4/12)</f>
        <v>30.3626118973467</v>
      </c>
      <c r="G37" s="15" t="n">
        <f aca="false">IF(E36&lt;=0.005,0,MIN(E36+F37,Compare!$B$9))</f>
        <v>85</v>
      </c>
      <c r="H37" s="15" t="n">
        <f aca="false">MAX(0,H36+I37-J37)</f>
        <v>436.09264487981</v>
      </c>
      <c r="I37" s="15" t="n">
        <f aca="false">IF(H36&lt;=0.005,0,H36*Compare!$B$4/12)</f>
        <v>9.8314551451357</v>
      </c>
      <c r="J37" s="15" t="n">
        <f aca="false">IF(H36&lt;=0.005,0,MIN(H36+I37,Compare!$B$9+Compare!$B$8))</f>
        <v>110</v>
      </c>
    </row>
    <row r="38" customFormat="false" ht="15" hidden="false" customHeight="false" outlineLevel="0" collapsed="false">
      <c r="A38" s="3" t="n">
        <v>35</v>
      </c>
      <c r="B38" s="15" t="n">
        <f aca="false">MAX(0,B37+C38-D38)</f>
        <v>2110.34308499871</v>
      </c>
      <c r="C38" s="15" t="n">
        <f aca="false">IF(B37&lt;=0.005,0,B37*Compare!$B$4/12)</f>
        <v>39.0804274999761</v>
      </c>
      <c r="D38" s="15" t="n">
        <f aca="false">IF(B37&lt;=0.005,0,MIN(B37+C38,MAX(Compare!$B$7,B37*Compare!$B$5+IF(Compare!$B$6="Yes",C38,0))))</f>
        <v>60.3970243181448</v>
      </c>
      <c r="E38" s="15" t="n">
        <f aca="false">MAX(0,E37+F38-G38)</f>
        <v>1545.86600547415</v>
      </c>
      <c r="F38" s="15" t="n">
        <f aca="false">IF(E37&lt;=0.005,0,E37*Compare!$B$4/12)</f>
        <v>29.3609264487981</v>
      </c>
      <c r="G38" s="15" t="n">
        <f aca="false">IF(E37&lt;=0.005,0,MIN(E37+F38,Compare!$B$9))</f>
        <v>85</v>
      </c>
      <c r="H38" s="15" t="n">
        <f aca="false">MAX(0,H37+I38-J38)</f>
        <v>334.087676702607</v>
      </c>
      <c r="I38" s="15" t="n">
        <f aca="false">IF(H37&lt;=0.005,0,H37*Compare!$B$4/12)</f>
        <v>7.99503182279652</v>
      </c>
      <c r="J38" s="15" t="n">
        <f aca="false">IF(H37&lt;=0.005,0,MIN(H37+I38,Compare!$B$9+Compare!$B$8))</f>
        <v>110</v>
      </c>
    </row>
    <row r="39" customFormat="false" ht="15" hidden="false" customHeight="false" outlineLevel="0" collapsed="false">
      <c r="A39" s="3" t="n">
        <v>36</v>
      </c>
      <c r="B39" s="15" t="n">
        <f aca="false">MAX(0,B38+C39-D39)</f>
        <v>2089.23965414872</v>
      </c>
      <c r="C39" s="15" t="n">
        <f aca="false">IF(B38&lt;=0.005,0,B38*Compare!$B$4/12)</f>
        <v>38.6896232249763</v>
      </c>
      <c r="D39" s="15" t="n">
        <f aca="false">IF(B38&lt;=0.005,0,MIN(B38+C39,MAX(Compare!$B$7,B38*Compare!$B$5+IF(Compare!$B$6="Yes",C39,0))))</f>
        <v>59.7930540749634</v>
      </c>
      <c r="E39" s="15" t="n">
        <f aca="false">MAX(0,E38+F39-G39)</f>
        <v>1489.20688224117</v>
      </c>
      <c r="F39" s="15" t="n">
        <f aca="false">IF(E38&lt;=0.005,0,E38*Compare!$B$4/12)</f>
        <v>28.3408767670261</v>
      </c>
      <c r="G39" s="15" t="n">
        <f aca="false">IF(E38&lt;=0.005,0,MIN(E38+F39,Compare!$B$9))</f>
        <v>85</v>
      </c>
      <c r="H39" s="15" t="n">
        <f aca="false">MAX(0,H38+I39-J39)</f>
        <v>230.212617442155</v>
      </c>
      <c r="I39" s="15" t="n">
        <f aca="false">IF(H38&lt;=0.005,0,H38*Compare!$B$4/12)</f>
        <v>6.1249407395478</v>
      </c>
      <c r="J39" s="15" t="n">
        <f aca="false">IF(H38&lt;=0.005,0,MIN(H38+I39,Compare!$B$9+Compare!$B$8))</f>
        <v>110</v>
      </c>
    </row>
    <row r="40" customFormat="false" ht="15" hidden="false" customHeight="false" outlineLevel="0" collapsed="false">
      <c r="A40" s="3" t="n">
        <v>37</v>
      </c>
      <c r="B40" s="15" t="n">
        <f aca="false">MAX(0,B39+C40-D40)</f>
        <v>2068.34725760723</v>
      </c>
      <c r="C40" s="15" t="n">
        <f aca="false">IF(B39&lt;=0.005,0,B39*Compare!$B$4/12)</f>
        <v>38.3027269927266</v>
      </c>
      <c r="D40" s="15" t="n">
        <f aca="false">IF(B39&lt;=0.005,0,MIN(B39+C40,MAX(Compare!$B$7,B39*Compare!$B$5+IF(Compare!$B$6="Yes",C40,0))))</f>
        <v>59.1951235342138</v>
      </c>
      <c r="E40" s="15" t="n">
        <f aca="false">MAX(0,E39+F40-G40)</f>
        <v>1431.5090084156</v>
      </c>
      <c r="F40" s="15" t="n">
        <f aca="false">IF(E39&lt;=0.005,0,E39*Compare!$B$4/12)</f>
        <v>27.3021261744215</v>
      </c>
      <c r="G40" s="15" t="n">
        <f aca="false">IF(E39&lt;=0.005,0,MIN(E39+F40,Compare!$B$9))</f>
        <v>85</v>
      </c>
      <c r="H40" s="15" t="n">
        <f aca="false">MAX(0,H39+I40-J40)</f>
        <v>124.433182095261</v>
      </c>
      <c r="I40" s="15" t="n">
        <f aca="false">IF(H39&lt;=0.005,0,H39*Compare!$B$4/12)</f>
        <v>4.22056465310617</v>
      </c>
      <c r="J40" s="15" t="n">
        <f aca="false">IF(H39&lt;=0.005,0,MIN(H39+I40,Compare!$B$9+Compare!$B$8))</f>
        <v>110</v>
      </c>
    </row>
    <row r="41" customFormat="false" ht="15" hidden="false" customHeight="false" outlineLevel="0" collapsed="false">
      <c r="A41" s="3" t="n">
        <v>38</v>
      </c>
      <c r="B41" s="15" t="n">
        <f aca="false">MAX(0,B40+C41-D41)</f>
        <v>2047.66378503116</v>
      </c>
      <c r="C41" s="15" t="n">
        <f aca="false">IF(B40&lt;=0.005,0,B40*Compare!$B$4/12)</f>
        <v>37.9196997227993</v>
      </c>
      <c r="D41" s="15" t="n">
        <f aca="false">IF(B40&lt;=0.005,0,MIN(B40+C41,MAX(Compare!$B$7,B40*Compare!$B$5+IF(Compare!$B$6="Yes",C41,0))))</f>
        <v>58.6031722988716</v>
      </c>
      <c r="E41" s="15" t="n">
        <f aca="false">MAX(0,E40+F41-G41)</f>
        <v>1372.75334023655</v>
      </c>
      <c r="F41" s="15" t="n">
        <f aca="false">IF(E40&lt;=0.005,0,E40*Compare!$B$4/12)</f>
        <v>26.2443318209526</v>
      </c>
      <c r="G41" s="15" t="n">
        <f aca="false">IF(E40&lt;=0.005,0,MIN(E40+F41,Compare!$B$9))</f>
        <v>85</v>
      </c>
      <c r="H41" s="15" t="n">
        <f aca="false">MAX(0,H40+I41-J41)</f>
        <v>16.7144571003408</v>
      </c>
      <c r="I41" s="15" t="n">
        <f aca="false">IF(H40&lt;=0.005,0,H40*Compare!$B$4/12)</f>
        <v>2.28127500507978</v>
      </c>
      <c r="J41" s="15" t="n">
        <f aca="false">IF(H40&lt;=0.005,0,MIN(H40+I41,Compare!$B$9+Compare!$B$8))</f>
        <v>110</v>
      </c>
    </row>
    <row r="42" customFormat="false" ht="15" hidden="false" customHeight="false" outlineLevel="0" collapsed="false">
      <c r="A42" s="3" t="n">
        <v>39</v>
      </c>
      <c r="B42" s="15" t="n">
        <f aca="false">MAX(0,B41+C42-D42)</f>
        <v>2027.18714718085</v>
      </c>
      <c r="C42" s="15" t="n">
        <f aca="false">IF(B41&lt;=0.005,0,B41*Compare!$B$4/12)</f>
        <v>37.5405027255713</v>
      </c>
      <c r="D42" s="15" t="n">
        <f aca="false">IF(B41&lt;=0.005,0,MIN(B41+C42,MAX(Compare!$B$7,B41*Compare!$B$5+IF(Compare!$B$6="Yes",C42,0))))</f>
        <v>58.0171405758829</v>
      </c>
      <c r="E42" s="15" t="n">
        <f aca="false">MAX(0,E41+F42-G42)</f>
        <v>1312.92048480755</v>
      </c>
      <c r="F42" s="15" t="n">
        <f aca="false">IF(E41&lt;=0.005,0,E41*Compare!$B$4/12)</f>
        <v>25.1671445710034</v>
      </c>
      <c r="G42" s="15" t="n">
        <f aca="false">IF(E41&lt;=0.005,0,MIN(E41+F42,Compare!$B$9))</f>
        <v>85</v>
      </c>
      <c r="H42" s="15" t="n">
        <f aca="false">MAX(0,H41+I42-J42)</f>
        <v>0</v>
      </c>
      <c r="I42" s="15" t="n">
        <f aca="false">IF(H41&lt;=0.005,0,H41*Compare!$B$4/12)</f>
        <v>0.306431713506247</v>
      </c>
      <c r="J42" s="15" t="n">
        <f aca="false">IF(H41&lt;=0.005,0,MIN(H41+I42,Compare!$B$9+Compare!$B$8))</f>
        <v>17.020888813847</v>
      </c>
    </row>
    <row r="43" customFormat="false" ht="15" hidden="false" customHeight="false" outlineLevel="0" collapsed="false">
      <c r="A43" s="3" t="n">
        <v>40</v>
      </c>
      <c r="B43" s="15" t="n">
        <f aca="false">MAX(0,B42+C43-D43)</f>
        <v>2006.91527570904</v>
      </c>
      <c r="C43" s="15" t="n">
        <f aca="false">IF(B42&lt;=0.005,0,B42*Compare!$B$4/12)</f>
        <v>37.1650976983156</v>
      </c>
      <c r="D43" s="15" t="n">
        <f aca="false">IF(B42&lt;=0.005,0,MIN(B42+C43,MAX(Compare!$B$7,B42*Compare!$B$5+IF(Compare!$B$6="Yes",C43,0))))</f>
        <v>57.4369691701241</v>
      </c>
      <c r="E43" s="15" t="n">
        <f aca="false">MAX(0,E42+F43-G43)</f>
        <v>1251.99069369569</v>
      </c>
      <c r="F43" s="15" t="n">
        <f aca="false">IF(E42&lt;=0.005,0,E42*Compare!$B$4/12)</f>
        <v>24.0702088881385</v>
      </c>
      <c r="G43" s="15" t="n">
        <f aca="false">IF(E42&lt;=0.005,0,MIN(E42+F43,Compare!$B$9))</f>
        <v>85</v>
      </c>
      <c r="H43" s="15" t="n">
        <f aca="false">MAX(0,H42+I43-J43)</f>
        <v>0</v>
      </c>
      <c r="I43" s="15" t="n">
        <f aca="false">IF(H42&lt;=0.005,0,H42*Compare!$B$4/12)</f>
        <v>0</v>
      </c>
      <c r="J43" s="15" t="n">
        <f aca="false">IF(H42&lt;=0.005,0,MIN(H42+I43,Compare!$B$9+Compare!$B$8))</f>
        <v>0</v>
      </c>
    </row>
    <row r="44" customFormat="false" ht="15" hidden="false" customHeight="false" outlineLevel="0" collapsed="false">
      <c r="A44" s="3" t="n">
        <v>41</v>
      </c>
      <c r="B44" s="15" t="n">
        <f aca="false">MAX(0,B43+C44-D44)</f>
        <v>1986.84612295195</v>
      </c>
      <c r="C44" s="15" t="n">
        <f aca="false">IF(B43&lt;=0.005,0,B43*Compare!$B$4/12)</f>
        <v>36.7934467213324</v>
      </c>
      <c r="D44" s="15" t="n">
        <f aca="false">IF(B43&lt;=0.005,0,MIN(B43+C44,MAX(Compare!$B$7,B43*Compare!$B$5+IF(Compare!$B$6="Yes",C44,0))))</f>
        <v>56.8625994784228</v>
      </c>
      <c r="E44" s="15" t="n">
        <f aca="false">MAX(0,E43+F44-G44)</f>
        <v>1189.94385641345</v>
      </c>
      <c r="F44" s="15" t="n">
        <f aca="false">IF(E43&lt;=0.005,0,E43*Compare!$B$4/12)</f>
        <v>22.9531627177543</v>
      </c>
      <c r="G44" s="15" t="n">
        <f aca="false">IF(E43&lt;=0.005,0,MIN(E43+F44,Compare!$B$9))</f>
        <v>85</v>
      </c>
      <c r="H44" s="15" t="n">
        <f aca="false">MAX(0,H43+I44-J44)</f>
        <v>0</v>
      </c>
      <c r="I44" s="15" t="n">
        <f aca="false">IF(H43&lt;=0.005,0,H43*Compare!$B$4/12)</f>
        <v>0</v>
      </c>
      <c r="J44" s="15" t="n">
        <f aca="false">IF(H43&lt;=0.005,0,MIN(H43+I44,Compare!$B$9+Compare!$B$8))</f>
        <v>0</v>
      </c>
    </row>
    <row r="45" customFormat="false" ht="15" hidden="false" customHeight="false" outlineLevel="0" collapsed="false">
      <c r="A45" s="3" t="n">
        <v>42</v>
      </c>
      <c r="B45" s="15" t="n">
        <f aca="false">MAX(0,B44+C45-D45)</f>
        <v>1966.97766172243</v>
      </c>
      <c r="C45" s="15" t="n">
        <f aca="false">IF(B44&lt;=0.005,0,B44*Compare!$B$4/12)</f>
        <v>36.4255122541191</v>
      </c>
      <c r="D45" s="15" t="n">
        <f aca="false">IF(B44&lt;=0.005,0,MIN(B44+C45,MAX(Compare!$B$7,B44*Compare!$B$5+IF(Compare!$B$6="Yes",C45,0))))</f>
        <v>56.2939734836386</v>
      </c>
      <c r="E45" s="15" t="n">
        <f aca="false">MAX(0,E44+F45-G45)</f>
        <v>1126.75949378103</v>
      </c>
      <c r="F45" s="15" t="n">
        <f aca="false">IF(E44&lt;=0.005,0,E44*Compare!$B$4/12)</f>
        <v>21.8156373675798</v>
      </c>
      <c r="G45" s="15" t="n">
        <f aca="false">IF(E44&lt;=0.005,0,MIN(E44+F45,Compare!$B$9))</f>
        <v>85</v>
      </c>
      <c r="H45" s="15" t="n">
        <f aca="false">MAX(0,H44+I45-J45)</f>
        <v>0</v>
      </c>
      <c r="I45" s="15" t="n">
        <f aca="false">IF(H44&lt;=0.005,0,H44*Compare!$B$4/12)</f>
        <v>0</v>
      </c>
      <c r="J45" s="15" t="n">
        <f aca="false">IF(H44&lt;=0.005,0,MIN(H44+I45,Compare!$B$9+Compare!$B$8))</f>
        <v>0</v>
      </c>
    </row>
    <row r="46" customFormat="false" ht="15" hidden="false" customHeight="false" outlineLevel="0" collapsed="false">
      <c r="A46" s="3" t="n">
        <v>43</v>
      </c>
      <c r="B46" s="15" t="n">
        <f aca="false">MAX(0,B45+C46-D46)</f>
        <v>1947.30788510521</v>
      </c>
      <c r="C46" s="15" t="n">
        <f aca="false">IF(B45&lt;=0.005,0,B45*Compare!$B$4/12)</f>
        <v>36.0612571315779</v>
      </c>
      <c r="D46" s="15" t="n">
        <f aca="false">IF(B45&lt;=0.005,0,MIN(B45+C46,MAX(Compare!$B$7,B45*Compare!$B$5+IF(Compare!$B$6="Yes",C46,0))))</f>
        <v>55.7310337488022</v>
      </c>
      <c r="E46" s="15" t="n">
        <f aca="false">MAX(0,E45+F46-G46)</f>
        <v>1062.41675116701</v>
      </c>
      <c r="F46" s="15" t="n">
        <f aca="false">IF(E45&lt;=0.005,0,E45*Compare!$B$4/12)</f>
        <v>20.6572573859855</v>
      </c>
      <c r="G46" s="15" t="n">
        <f aca="false">IF(E45&lt;=0.005,0,MIN(E45+F46,Compare!$B$9))</f>
        <v>85</v>
      </c>
      <c r="H46" s="15" t="n">
        <f aca="false">MAX(0,H45+I46-J46)</f>
        <v>0</v>
      </c>
      <c r="I46" s="15" t="n">
        <f aca="false">IF(H45&lt;=0.005,0,H45*Compare!$B$4/12)</f>
        <v>0</v>
      </c>
      <c r="J46" s="15" t="n">
        <f aca="false">IF(H45&lt;=0.005,0,MIN(H45+I46,Compare!$B$9+Compare!$B$8))</f>
        <v>0</v>
      </c>
    </row>
    <row r="47" customFormat="false" ht="15" hidden="false" customHeight="false" outlineLevel="0" collapsed="false">
      <c r="A47" s="3" t="n">
        <v>44</v>
      </c>
      <c r="B47" s="15" t="n">
        <f aca="false">MAX(0,B46+C47-D47)</f>
        <v>1927.83480625415</v>
      </c>
      <c r="C47" s="15" t="n">
        <f aca="false">IF(B46&lt;=0.005,0,B46*Compare!$B$4/12)</f>
        <v>35.7006445602621</v>
      </c>
      <c r="D47" s="15" t="n">
        <f aca="false">IF(B46&lt;=0.005,0,MIN(B46+C47,MAX(Compare!$B$7,B46*Compare!$B$5+IF(Compare!$B$6="Yes",C47,0))))</f>
        <v>55.1737234113142</v>
      </c>
      <c r="E47" s="15" t="n">
        <f aca="false">MAX(0,E46+F47-G47)</f>
        <v>996.894391605072</v>
      </c>
      <c r="F47" s="15" t="n">
        <f aca="false">IF(E46&lt;=0.005,0,E46*Compare!$B$4/12)</f>
        <v>19.4776404380619</v>
      </c>
      <c r="G47" s="15" t="n">
        <f aca="false">IF(E46&lt;=0.005,0,MIN(E46+F47,Compare!$B$9))</f>
        <v>85</v>
      </c>
      <c r="H47" s="15" t="n">
        <f aca="false">MAX(0,H46+I47-J47)</f>
        <v>0</v>
      </c>
      <c r="I47" s="15" t="n">
        <f aca="false">IF(H46&lt;=0.005,0,H46*Compare!$B$4/12)</f>
        <v>0</v>
      </c>
      <c r="J47" s="15" t="n">
        <f aca="false">IF(H46&lt;=0.005,0,MIN(H46+I47,Compare!$B$9+Compare!$B$8))</f>
        <v>0</v>
      </c>
    </row>
    <row r="48" customFormat="false" ht="15" hidden="false" customHeight="false" outlineLevel="0" collapsed="false">
      <c r="A48" s="3" t="n">
        <v>45</v>
      </c>
      <c r="B48" s="15" t="n">
        <f aca="false">MAX(0,B47+C48-D48)</f>
        <v>1908.55645819161</v>
      </c>
      <c r="C48" s="15" t="n">
        <f aca="false">IF(B47&lt;=0.005,0,B47*Compare!$B$4/12)</f>
        <v>35.3436381146595</v>
      </c>
      <c r="D48" s="15" t="n">
        <f aca="false">IF(B47&lt;=0.005,0,MIN(B47+C48,MAX(Compare!$B$7,B47*Compare!$B$5+IF(Compare!$B$6="Yes",C48,0))))</f>
        <v>54.621986177201</v>
      </c>
      <c r="E48" s="15" t="n">
        <f aca="false">MAX(0,E47+F48-G48)</f>
        <v>930.170788784499</v>
      </c>
      <c r="F48" s="15" t="n">
        <f aca="false">IF(E47&lt;=0.005,0,E47*Compare!$B$4/12)</f>
        <v>18.2763971794263</v>
      </c>
      <c r="G48" s="15" t="n">
        <f aca="false">IF(E47&lt;=0.005,0,MIN(E47+F48,Compare!$B$9))</f>
        <v>85</v>
      </c>
      <c r="H48" s="15" t="n">
        <f aca="false">MAX(0,H47+I48-J48)</f>
        <v>0</v>
      </c>
      <c r="I48" s="15" t="n">
        <f aca="false">IF(H47&lt;=0.005,0,H47*Compare!$B$4/12)</f>
        <v>0</v>
      </c>
      <c r="J48" s="15" t="n">
        <f aca="false">IF(H47&lt;=0.005,0,MIN(H47+I48,Compare!$B$9+Compare!$B$8))</f>
        <v>0</v>
      </c>
    </row>
    <row r="49" customFormat="false" ht="15" hidden="false" customHeight="false" outlineLevel="0" collapsed="false">
      <c r="A49" s="3" t="n">
        <v>46</v>
      </c>
      <c r="B49" s="15" t="n">
        <f aca="false">MAX(0,B48+C49-D49)</f>
        <v>1889.4708936097</v>
      </c>
      <c r="C49" s="15" t="n">
        <f aca="false">IF(B48&lt;=0.005,0,B48*Compare!$B$4/12)</f>
        <v>34.9902017335129</v>
      </c>
      <c r="D49" s="15" t="n">
        <f aca="false">IF(B48&lt;=0.005,0,MIN(B48+C49,MAX(Compare!$B$7,B48*Compare!$B$5+IF(Compare!$B$6="Yes",C49,0))))</f>
        <v>54.075766315429</v>
      </c>
      <c r="E49" s="15" t="n">
        <f aca="false">MAX(0,E48+F49-G49)</f>
        <v>862.223919912215</v>
      </c>
      <c r="F49" s="15" t="n">
        <f aca="false">IF(E48&lt;=0.005,0,E48*Compare!$B$4/12)</f>
        <v>17.0531311277158</v>
      </c>
      <c r="G49" s="15" t="n">
        <f aca="false">IF(E48&lt;=0.005,0,MIN(E48+F49,Compare!$B$9))</f>
        <v>85</v>
      </c>
      <c r="H49" s="15" t="n">
        <f aca="false">MAX(0,H48+I49-J49)</f>
        <v>0</v>
      </c>
      <c r="I49" s="15" t="n">
        <f aca="false">IF(H48&lt;=0.005,0,H48*Compare!$B$4/12)</f>
        <v>0</v>
      </c>
      <c r="J49" s="15" t="n">
        <f aca="false">IF(H48&lt;=0.005,0,MIN(H48+I49,Compare!$B$9+Compare!$B$8))</f>
        <v>0</v>
      </c>
    </row>
    <row r="50" customFormat="false" ht="15" hidden="false" customHeight="false" outlineLevel="0" collapsed="false">
      <c r="A50" s="3" t="n">
        <v>47</v>
      </c>
      <c r="B50" s="15" t="n">
        <f aca="false">MAX(0,B49+C50-D50)</f>
        <v>1870.5761846736</v>
      </c>
      <c r="C50" s="15" t="n">
        <f aca="false">IF(B49&lt;=0.005,0,B49*Compare!$B$4/12)</f>
        <v>34.6402997161778</v>
      </c>
      <c r="D50" s="15" t="n">
        <f aca="false">IF(B49&lt;=0.005,0,MIN(B49+C50,MAX(Compare!$B$7,B49*Compare!$B$5+IF(Compare!$B$6="Yes",C50,0))))</f>
        <v>53.5350086522748</v>
      </c>
      <c r="E50" s="15" t="n">
        <f aca="false">MAX(0,E49+F50-G50)</f>
        <v>793.031358443938</v>
      </c>
      <c r="F50" s="15" t="n">
        <f aca="false">IF(E49&lt;=0.005,0,E49*Compare!$B$4/12)</f>
        <v>15.8074385317239</v>
      </c>
      <c r="G50" s="15" t="n">
        <f aca="false">IF(E49&lt;=0.005,0,MIN(E49+F50,Compare!$B$9))</f>
        <v>85</v>
      </c>
      <c r="H50" s="15" t="n">
        <f aca="false">MAX(0,H49+I50-J50)</f>
        <v>0</v>
      </c>
      <c r="I50" s="15" t="n">
        <f aca="false">IF(H49&lt;=0.005,0,H49*Compare!$B$4/12)</f>
        <v>0</v>
      </c>
      <c r="J50" s="15" t="n">
        <f aca="false">IF(H49&lt;=0.005,0,MIN(H49+I50,Compare!$B$9+Compare!$B$8))</f>
        <v>0</v>
      </c>
    </row>
    <row r="51" customFormat="false" ht="15" hidden="false" customHeight="false" outlineLevel="0" collapsed="false">
      <c r="A51" s="3" t="n">
        <v>48</v>
      </c>
      <c r="B51" s="15" t="n">
        <f aca="false">MAX(0,B50+C51-D51)</f>
        <v>1851.87042282686</v>
      </c>
      <c r="C51" s="15" t="n">
        <f aca="false">IF(B50&lt;=0.005,0,B50*Compare!$B$4/12)</f>
        <v>34.293896719016</v>
      </c>
      <c r="D51" s="15" t="n">
        <f aca="false">IF(B50&lt;=0.005,0,MIN(B50+C51,MAX(Compare!$B$7,B50*Compare!$B$5+IF(Compare!$B$6="Yes",C51,0))))</f>
        <v>52.999658565752</v>
      </c>
      <c r="E51" s="15" t="n">
        <f aca="false">MAX(0,E50+F51-G51)</f>
        <v>722.570266682077</v>
      </c>
      <c r="F51" s="15" t="n">
        <f aca="false">IF(E50&lt;=0.005,0,E50*Compare!$B$4/12)</f>
        <v>14.5389082381389</v>
      </c>
      <c r="G51" s="15" t="n">
        <f aca="false">IF(E50&lt;=0.005,0,MIN(E50+F51,Compare!$B$9))</f>
        <v>85</v>
      </c>
      <c r="H51" s="15" t="n">
        <f aca="false">MAX(0,H50+I51-J51)</f>
        <v>0</v>
      </c>
      <c r="I51" s="15" t="n">
        <f aca="false">IF(H50&lt;=0.005,0,H50*Compare!$B$4/12)</f>
        <v>0</v>
      </c>
      <c r="J51" s="15" t="n">
        <f aca="false">IF(H50&lt;=0.005,0,MIN(H50+I51,Compare!$B$9+Compare!$B$8))</f>
        <v>0</v>
      </c>
    </row>
    <row r="52" customFormat="false" ht="15" hidden="false" customHeight="false" outlineLevel="0" collapsed="false">
      <c r="A52" s="3" t="n">
        <v>49</v>
      </c>
      <c r="B52" s="15" t="n">
        <f aca="false">MAX(0,B51+C52-D52)</f>
        <v>1833.3517185986</v>
      </c>
      <c r="C52" s="15" t="n">
        <f aca="false">IF(B51&lt;=0.005,0,B51*Compare!$B$4/12)</f>
        <v>33.9509577518259</v>
      </c>
      <c r="D52" s="15" t="n">
        <f aca="false">IF(B51&lt;=0.005,0,MIN(B51+C52,MAX(Compare!$B$7,B51*Compare!$B$5+IF(Compare!$B$6="Yes",C52,0))))</f>
        <v>52.4696619800945</v>
      </c>
      <c r="E52" s="15" t="n">
        <f aca="false">MAX(0,E51+F52-G52)</f>
        <v>650.817388237916</v>
      </c>
      <c r="F52" s="15" t="n">
        <f aca="false">IF(E51&lt;=0.005,0,E51*Compare!$B$4/12)</f>
        <v>13.2471215558381</v>
      </c>
      <c r="G52" s="15" t="n">
        <f aca="false">IF(E51&lt;=0.005,0,MIN(E51+F52,Compare!$B$9))</f>
        <v>85</v>
      </c>
      <c r="H52" s="15" t="n">
        <f aca="false">MAX(0,H51+I52-J52)</f>
        <v>0</v>
      </c>
      <c r="I52" s="15" t="n">
        <f aca="false">IF(H51&lt;=0.005,0,H51*Compare!$B$4/12)</f>
        <v>0</v>
      </c>
      <c r="J52" s="15" t="n">
        <f aca="false">IF(H51&lt;=0.005,0,MIN(H51+I52,Compare!$B$9+Compare!$B$8))</f>
        <v>0</v>
      </c>
    </row>
    <row r="53" customFormat="false" ht="15" hidden="false" customHeight="false" outlineLevel="0" collapsed="false">
      <c r="A53" s="3" t="n">
        <v>50</v>
      </c>
      <c r="B53" s="15" t="n">
        <f aca="false">MAX(0,B52+C53-D53)</f>
        <v>1815.01820141261</v>
      </c>
      <c r="C53" s="15" t="n">
        <f aca="false">IF(B52&lt;=0.005,0,B52*Compare!$B$4/12)</f>
        <v>33.6114481743076</v>
      </c>
      <c r="D53" s="15" t="n">
        <f aca="false">IF(B52&lt;=0.005,0,MIN(B52+C53,MAX(Compare!$B$7,B52*Compare!$B$5+IF(Compare!$B$6="Yes",C53,0))))</f>
        <v>51.9449653602935</v>
      </c>
      <c r="E53" s="15" t="n">
        <f aca="false">MAX(0,E52+F53-G53)</f>
        <v>577.749040355611</v>
      </c>
      <c r="F53" s="15" t="n">
        <f aca="false">IF(E52&lt;=0.005,0,E52*Compare!$B$4/12)</f>
        <v>11.9316521176951</v>
      </c>
      <c r="G53" s="15" t="n">
        <f aca="false">IF(E52&lt;=0.005,0,MIN(E52+F53,Compare!$B$9))</f>
        <v>85</v>
      </c>
      <c r="H53" s="15" t="n">
        <f aca="false">MAX(0,H52+I53-J53)</f>
        <v>0</v>
      </c>
      <c r="I53" s="15" t="n">
        <f aca="false">IF(H52&lt;=0.005,0,H52*Compare!$B$4/12)</f>
        <v>0</v>
      </c>
      <c r="J53" s="15" t="n">
        <f aca="false">IF(H52&lt;=0.005,0,MIN(H52+I53,Compare!$B$9+Compare!$B$8))</f>
        <v>0</v>
      </c>
    </row>
    <row r="54" customFormat="false" ht="15" hidden="false" customHeight="false" outlineLevel="0" collapsed="false">
      <c r="A54" s="3" t="n">
        <v>51</v>
      </c>
      <c r="B54" s="15" t="n">
        <f aca="false">MAX(0,B53+C54-D54)</f>
        <v>1796.86801939848</v>
      </c>
      <c r="C54" s="15" t="n">
        <f aca="false">IF(B53&lt;=0.005,0,B53*Compare!$B$4/12)</f>
        <v>33.2753336925645</v>
      </c>
      <c r="D54" s="15" t="n">
        <f aca="false">IF(B53&lt;=0.005,0,MIN(B53+C54,MAX(Compare!$B$7,B53*Compare!$B$5+IF(Compare!$B$6="Yes",C54,0))))</f>
        <v>51.4255157066906</v>
      </c>
      <c r="E54" s="15" t="n">
        <f aca="false">MAX(0,E53+F54-G54)</f>
        <v>503.341106095463</v>
      </c>
      <c r="F54" s="15" t="n">
        <f aca="false">IF(E53&lt;=0.005,0,E53*Compare!$B$4/12)</f>
        <v>10.5920657398529</v>
      </c>
      <c r="G54" s="15" t="n">
        <f aca="false">IF(E53&lt;=0.005,0,MIN(E53+F54,Compare!$B$9))</f>
        <v>85</v>
      </c>
      <c r="H54" s="15" t="n">
        <f aca="false">MAX(0,H53+I54-J54)</f>
        <v>0</v>
      </c>
      <c r="I54" s="15" t="n">
        <f aca="false">IF(H53&lt;=0.005,0,H53*Compare!$B$4/12)</f>
        <v>0</v>
      </c>
      <c r="J54" s="15" t="n">
        <f aca="false">IF(H53&lt;=0.005,0,MIN(H53+I54,Compare!$B$9+Compare!$B$8))</f>
        <v>0</v>
      </c>
    </row>
    <row r="55" customFormat="false" ht="15" hidden="false" customHeight="false" outlineLevel="0" collapsed="false">
      <c r="A55" s="3" t="n">
        <v>52</v>
      </c>
      <c r="B55" s="15" t="n">
        <f aca="false">MAX(0,B54+C55-D55)</f>
        <v>1778.8993392045</v>
      </c>
      <c r="C55" s="15" t="n">
        <f aca="false">IF(B54&lt;=0.005,0,B54*Compare!$B$4/12)</f>
        <v>32.9425803556389</v>
      </c>
      <c r="D55" s="15" t="n">
        <f aca="false">IF(B54&lt;=0.005,0,MIN(B54+C55,MAX(Compare!$B$7,B54*Compare!$B$5+IF(Compare!$B$6="Yes",C55,0))))</f>
        <v>50.9112605496237</v>
      </c>
      <c r="E55" s="15" t="n">
        <f aca="false">MAX(0,E54+F55-G55)</f>
        <v>427.56902637388</v>
      </c>
      <c r="F55" s="15" t="n">
        <f aca="false">IF(E54&lt;=0.005,0,E54*Compare!$B$4/12)</f>
        <v>9.22792027841683</v>
      </c>
      <c r="G55" s="15" t="n">
        <f aca="false">IF(E54&lt;=0.005,0,MIN(E54+F55,Compare!$B$9))</f>
        <v>85</v>
      </c>
      <c r="H55" s="15" t="n">
        <f aca="false">MAX(0,H54+I55-J55)</f>
        <v>0</v>
      </c>
      <c r="I55" s="15" t="n">
        <f aca="false">IF(H54&lt;=0.005,0,H54*Compare!$B$4/12)</f>
        <v>0</v>
      </c>
      <c r="J55" s="15" t="n">
        <f aca="false">IF(H54&lt;=0.005,0,MIN(H54+I55,Compare!$B$9+Compare!$B$8))</f>
        <v>0</v>
      </c>
    </row>
    <row r="56" customFormat="false" ht="15" hidden="false" customHeight="false" outlineLevel="0" collapsed="false">
      <c r="A56" s="3" t="n">
        <v>53</v>
      </c>
      <c r="B56" s="15" t="n">
        <f aca="false">MAX(0,B55+C56-D56)</f>
        <v>1761.11034581245</v>
      </c>
      <c r="C56" s="15" t="n">
        <f aca="false">IF(B55&lt;=0.005,0,B55*Compare!$B$4/12)</f>
        <v>32.6131545520825</v>
      </c>
      <c r="D56" s="15" t="n">
        <f aca="false">IF(B55&lt;=0.005,0,MIN(B55+C56,MAX(Compare!$B$7,B55*Compare!$B$5+IF(Compare!$B$6="Yes",C56,0))))</f>
        <v>50.4021479441275</v>
      </c>
      <c r="E56" s="15" t="n">
        <f aca="false">MAX(0,E55+F56-G56)</f>
        <v>350.407791857401</v>
      </c>
      <c r="F56" s="15" t="n">
        <f aca="false">IF(E55&lt;=0.005,0,E55*Compare!$B$4/12)</f>
        <v>7.83876548352114</v>
      </c>
      <c r="G56" s="15" t="n">
        <f aca="false">IF(E55&lt;=0.005,0,MIN(E55+F56,Compare!$B$9))</f>
        <v>85</v>
      </c>
      <c r="H56" s="15" t="n">
        <f aca="false">MAX(0,H55+I56-J56)</f>
        <v>0</v>
      </c>
      <c r="I56" s="15" t="n">
        <f aca="false">IF(H55&lt;=0.005,0,H55*Compare!$B$4/12)</f>
        <v>0</v>
      </c>
      <c r="J56" s="15" t="n">
        <f aca="false">IF(H55&lt;=0.005,0,MIN(H55+I56,Compare!$B$9+Compare!$B$8))</f>
        <v>0</v>
      </c>
    </row>
    <row r="57" customFormat="false" ht="15" hidden="false" customHeight="false" outlineLevel="0" collapsed="false">
      <c r="A57" s="3" t="n">
        <v>54</v>
      </c>
      <c r="B57" s="15" t="n">
        <f aca="false">MAX(0,B56+C57-D57)</f>
        <v>1743.49924235433</v>
      </c>
      <c r="C57" s="15" t="n">
        <f aca="false">IF(B56&lt;=0.005,0,B56*Compare!$B$4/12)</f>
        <v>32.2870230065617</v>
      </c>
      <c r="D57" s="15" t="n">
        <f aca="false">IF(B56&lt;=0.005,0,MIN(B56+C57,MAX(Compare!$B$7,B56*Compare!$B$5+IF(Compare!$B$6="Yes",C57,0))))</f>
        <v>49.8981264646862</v>
      </c>
      <c r="E57" s="15" t="n">
        <f aca="false">MAX(0,E56+F57-G57)</f>
        <v>271.83193470812</v>
      </c>
      <c r="F57" s="15" t="n">
        <f aca="false">IF(E56&lt;=0.005,0,E56*Compare!$B$4/12)</f>
        <v>6.42414285071903</v>
      </c>
      <c r="G57" s="15" t="n">
        <f aca="false">IF(E56&lt;=0.005,0,MIN(E56+F57,Compare!$B$9))</f>
        <v>85</v>
      </c>
      <c r="H57" s="15" t="n">
        <f aca="false">MAX(0,H56+I57-J57)</f>
        <v>0</v>
      </c>
      <c r="I57" s="15" t="n">
        <f aca="false">IF(H56&lt;=0.005,0,H56*Compare!$B$4/12)</f>
        <v>0</v>
      </c>
      <c r="J57" s="15" t="n">
        <f aca="false">IF(H56&lt;=0.005,0,MIN(H56+I57,Compare!$B$9+Compare!$B$8))</f>
        <v>0</v>
      </c>
    </row>
    <row r="58" customFormat="false" ht="15" hidden="false" customHeight="false" outlineLevel="0" collapsed="false">
      <c r="A58" s="3" t="n">
        <v>55</v>
      </c>
      <c r="B58" s="15" t="n">
        <f aca="false">MAX(0,B57+C58-D58)</f>
        <v>1726.06424993079</v>
      </c>
      <c r="C58" s="15" t="n">
        <f aca="false">IF(B57&lt;=0.005,0,B57*Compare!$B$4/12)</f>
        <v>31.964152776496</v>
      </c>
      <c r="D58" s="15" t="n">
        <f aca="false">IF(B57&lt;=0.005,0,MIN(B57+C58,MAX(Compare!$B$7,B57*Compare!$B$5+IF(Compare!$B$6="Yes",C58,0))))</f>
        <v>49.3991452000393</v>
      </c>
      <c r="E58" s="15" t="n">
        <f aca="false">MAX(0,E57+F58-G58)</f>
        <v>191.815520177769</v>
      </c>
      <c r="F58" s="15" t="n">
        <f aca="false">IF(E57&lt;=0.005,0,E57*Compare!$B$4/12)</f>
        <v>4.98358546964887</v>
      </c>
      <c r="G58" s="15" t="n">
        <f aca="false">IF(E57&lt;=0.005,0,MIN(E57+F58,Compare!$B$9))</f>
        <v>85</v>
      </c>
      <c r="H58" s="15" t="n">
        <f aca="false">MAX(0,H57+I58-J58)</f>
        <v>0</v>
      </c>
      <c r="I58" s="15" t="n">
        <f aca="false">IF(H57&lt;=0.005,0,H57*Compare!$B$4/12)</f>
        <v>0</v>
      </c>
      <c r="J58" s="15" t="n">
        <f aca="false">IF(H57&lt;=0.005,0,MIN(H57+I58,Compare!$B$9+Compare!$B$8))</f>
        <v>0</v>
      </c>
    </row>
    <row r="59" customFormat="false" ht="15" hidden="false" customHeight="false" outlineLevel="0" collapsed="false">
      <c r="A59" s="3" t="n">
        <v>56</v>
      </c>
      <c r="B59" s="15" t="n">
        <f aca="false">MAX(0,B58+C59-D59)</f>
        <v>1708.80360743148</v>
      </c>
      <c r="C59" s="15" t="n">
        <f aca="false">IF(B58&lt;=0.005,0,B58*Compare!$B$4/12)</f>
        <v>31.6445112487311</v>
      </c>
      <c r="D59" s="15" t="n">
        <f aca="false">IF(B58&lt;=0.005,0,MIN(B58+C59,MAX(Compare!$B$7,B58*Compare!$B$5+IF(Compare!$B$6="Yes",C59,0))))</f>
        <v>48.9051537480389</v>
      </c>
      <c r="E59" s="15" t="n">
        <f aca="false">MAX(0,E58+F59-G59)</f>
        <v>110.332138047695</v>
      </c>
      <c r="F59" s="15" t="n">
        <f aca="false">IF(E58&lt;=0.005,0,E58*Compare!$B$4/12)</f>
        <v>3.51661786992577</v>
      </c>
      <c r="G59" s="15" t="n">
        <f aca="false">IF(E58&lt;=0.005,0,MIN(E58+F59,Compare!$B$9))</f>
        <v>85</v>
      </c>
      <c r="H59" s="15" t="n">
        <f aca="false">MAX(0,H58+I59-J59)</f>
        <v>0</v>
      </c>
      <c r="I59" s="15" t="n">
        <f aca="false">IF(H58&lt;=0.005,0,H58*Compare!$B$4/12)</f>
        <v>0</v>
      </c>
      <c r="J59" s="15" t="n">
        <f aca="false">IF(H58&lt;=0.005,0,MIN(H58+I59,Compare!$B$9+Compare!$B$8))</f>
        <v>0</v>
      </c>
    </row>
    <row r="60" customFormat="false" ht="15" hidden="false" customHeight="false" outlineLevel="0" collapsed="false">
      <c r="A60" s="3" t="n">
        <v>57</v>
      </c>
      <c r="B60" s="15" t="n">
        <f aca="false">MAX(0,B59+C60-D60)</f>
        <v>1691.71557135716</v>
      </c>
      <c r="C60" s="15" t="n">
        <f aca="false">IF(B59&lt;=0.005,0,B59*Compare!$B$4/12)</f>
        <v>31.3280661362438</v>
      </c>
      <c r="D60" s="15" t="n">
        <f aca="false">IF(B59&lt;=0.005,0,MIN(B59+C60,MAX(Compare!$B$7,B59*Compare!$B$5+IF(Compare!$B$6="Yes",C60,0))))</f>
        <v>48.4161022105586</v>
      </c>
      <c r="E60" s="15" t="n">
        <f aca="false">MAX(0,E59+F60-G60)</f>
        <v>27.3548939119027</v>
      </c>
      <c r="F60" s="15" t="n">
        <f aca="false">IF(E59&lt;=0.005,0,E59*Compare!$B$4/12)</f>
        <v>2.02275586420774</v>
      </c>
      <c r="G60" s="15" t="n">
        <f aca="false">IF(E59&lt;=0.005,0,MIN(E59+F60,Compare!$B$9))</f>
        <v>85</v>
      </c>
      <c r="H60" s="15" t="n">
        <f aca="false">MAX(0,H59+I60-J60)</f>
        <v>0</v>
      </c>
      <c r="I60" s="15" t="n">
        <f aca="false">IF(H59&lt;=0.005,0,H59*Compare!$B$4/12)</f>
        <v>0</v>
      </c>
      <c r="J60" s="15" t="n">
        <f aca="false">IF(H59&lt;=0.005,0,MIN(H59+I60,Compare!$B$9+Compare!$B$8))</f>
        <v>0</v>
      </c>
    </row>
    <row r="61" customFormat="false" ht="15" hidden="false" customHeight="false" outlineLevel="0" collapsed="false">
      <c r="A61" s="3" t="n">
        <v>58</v>
      </c>
      <c r="B61" s="15" t="n">
        <f aca="false">MAX(0,B60+C61-D61)</f>
        <v>1674.79841564359</v>
      </c>
      <c r="C61" s="15" t="n">
        <f aca="false">IF(B60&lt;=0.005,0,B60*Compare!$B$4/12)</f>
        <v>31.0147854748813</v>
      </c>
      <c r="D61" s="15" t="n">
        <f aca="false">IF(B60&lt;=0.005,0,MIN(B60+C61,MAX(Compare!$B$7,B60*Compare!$B$5+IF(Compare!$B$6="Yes",C61,0))))</f>
        <v>47.931941188453</v>
      </c>
      <c r="E61" s="15" t="n">
        <f aca="false">MAX(0,E60+F61-G61)</f>
        <v>0</v>
      </c>
      <c r="F61" s="15" t="n">
        <f aca="false">IF(E60&lt;=0.005,0,E60*Compare!$B$4/12)</f>
        <v>0.501506388384883</v>
      </c>
      <c r="G61" s="15" t="n">
        <f aca="false">IF(E60&lt;=0.005,0,MIN(E60+F61,Compare!$B$9))</f>
        <v>27.8564003002876</v>
      </c>
      <c r="H61" s="15" t="n">
        <f aca="false">MAX(0,H60+I61-J61)</f>
        <v>0</v>
      </c>
      <c r="I61" s="15" t="n">
        <f aca="false">IF(H60&lt;=0.005,0,H60*Compare!$B$4/12)</f>
        <v>0</v>
      </c>
      <c r="J61" s="15" t="n">
        <f aca="false">IF(H60&lt;=0.005,0,MIN(H60+I61,Compare!$B$9+Compare!$B$8))</f>
        <v>0</v>
      </c>
    </row>
    <row r="62" customFormat="false" ht="15" hidden="false" customHeight="false" outlineLevel="0" collapsed="false">
      <c r="A62" s="3" t="n">
        <v>59</v>
      </c>
      <c r="B62" s="15" t="n">
        <f aca="false">MAX(0,B61+C62-D62)</f>
        <v>1658.05043148716</v>
      </c>
      <c r="C62" s="15" t="n">
        <f aca="false">IF(B61&lt;=0.005,0,B61*Compare!$B$4/12)</f>
        <v>30.7046376201325</v>
      </c>
      <c r="D62" s="15" t="n">
        <f aca="false">IF(B61&lt;=0.005,0,MIN(B61+C62,MAX(Compare!$B$7,B61*Compare!$B$5+IF(Compare!$B$6="Yes",C62,0))))</f>
        <v>47.4526217765684</v>
      </c>
      <c r="E62" s="15" t="n">
        <f aca="false">MAX(0,E61+F62-G62)</f>
        <v>0</v>
      </c>
      <c r="F62" s="15" t="n">
        <f aca="false">IF(E61&lt;=0.005,0,E61*Compare!$B$4/12)</f>
        <v>0</v>
      </c>
      <c r="G62" s="15" t="n">
        <f aca="false">IF(E61&lt;=0.005,0,MIN(E61+F62,Compare!$B$9))</f>
        <v>0</v>
      </c>
      <c r="H62" s="15" t="n">
        <f aca="false">MAX(0,H61+I62-J62)</f>
        <v>0</v>
      </c>
      <c r="I62" s="15" t="n">
        <f aca="false">IF(H61&lt;=0.005,0,H61*Compare!$B$4/12)</f>
        <v>0</v>
      </c>
      <c r="J62" s="15" t="n">
        <f aca="false">IF(H61&lt;=0.005,0,MIN(H61+I62,Compare!$B$9+Compare!$B$8))</f>
        <v>0</v>
      </c>
    </row>
    <row r="63" customFormat="false" ht="15" hidden="false" customHeight="false" outlineLevel="0" collapsed="false">
      <c r="A63" s="3" t="n">
        <v>60</v>
      </c>
      <c r="B63" s="15" t="n">
        <f aca="false">MAX(0,B62+C63-D63)</f>
        <v>1641.46992717228</v>
      </c>
      <c r="C63" s="15" t="n">
        <f aca="false">IF(B62&lt;=0.005,0,B62*Compare!$B$4/12)</f>
        <v>30.3975912439312</v>
      </c>
      <c r="D63" s="15" t="n">
        <f aca="false">IF(B62&lt;=0.005,0,MIN(B62+C63,MAX(Compare!$B$7,B62*Compare!$B$5+IF(Compare!$B$6="Yes",C63,0))))</f>
        <v>46.9780955588028</v>
      </c>
      <c r="E63" s="15" t="n">
        <f aca="false">MAX(0,E62+F63-G63)</f>
        <v>0</v>
      </c>
      <c r="F63" s="15" t="n">
        <f aca="false">IF(E62&lt;=0.005,0,E62*Compare!$B$4/12)</f>
        <v>0</v>
      </c>
      <c r="G63" s="15" t="n">
        <f aca="false">IF(E62&lt;=0.005,0,MIN(E62+F63,Compare!$B$9))</f>
        <v>0</v>
      </c>
      <c r="H63" s="15" t="n">
        <f aca="false">MAX(0,H62+I63-J63)</f>
        <v>0</v>
      </c>
      <c r="I63" s="15" t="n">
        <f aca="false">IF(H62&lt;=0.005,0,H62*Compare!$B$4/12)</f>
        <v>0</v>
      </c>
      <c r="J63" s="15" t="n">
        <f aca="false">IF(H62&lt;=0.005,0,MIN(H62+I63,Compare!$B$9+Compare!$B$8))</f>
        <v>0</v>
      </c>
    </row>
    <row r="64" customFormat="false" ht="15" hidden="false" customHeight="false" outlineLevel="0" collapsed="false">
      <c r="A64" s="3" t="n">
        <v>61</v>
      </c>
      <c r="B64" s="15" t="n">
        <f aca="false">MAX(0,B63+C64-D64)</f>
        <v>1625.05522790056</v>
      </c>
      <c r="C64" s="15" t="n">
        <f aca="false">IF(B63&lt;=0.005,0,B63*Compare!$B$4/12)</f>
        <v>30.0936153314919</v>
      </c>
      <c r="D64" s="15" t="n">
        <f aca="false">IF(B63&lt;=0.005,0,MIN(B63+C64,MAX(Compare!$B$7,B63*Compare!$B$5+IF(Compare!$B$6="Yes",C64,0))))</f>
        <v>46.5083146032147</v>
      </c>
      <c r="E64" s="15" t="n">
        <f aca="false">MAX(0,E63+F64-G64)</f>
        <v>0</v>
      </c>
      <c r="F64" s="15" t="n">
        <f aca="false">IF(E63&lt;=0.005,0,E63*Compare!$B$4/12)</f>
        <v>0</v>
      </c>
      <c r="G64" s="15" t="n">
        <f aca="false">IF(E63&lt;=0.005,0,MIN(E63+F64,Compare!$B$9))</f>
        <v>0</v>
      </c>
      <c r="H64" s="15" t="n">
        <f aca="false">MAX(0,H63+I64-J64)</f>
        <v>0</v>
      </c>
      <c r="I64" s="15" t="n">
        <f aca="false">IF(H63&lt;=0.005,0,H63*Compare!$B$4/12)</f>
        <v>0</v>
      </c>
      <c r="J64" s="15" t="n">
        <f aca="false">IF(H63&lt;=0.005,0,MIN(H63+I64,Compare!$B$9+Compare!$B$8))</f>
        <v>0</v>
      </c>
    </row>
    <row r="65" customFormat="false" ht="15" hidden="false" customHeight="false" outlineLevel="0" collapsed="false">
      <c r="A65" s="3" t="n">
        <v>62</v>
      </c>
      <c r="B65" s="15" t="n">
        <f aca="false">MAX(0,B64+C65-D65)</f>
        <v>1608.80467562156</v>
      </c>
      <c r="C65" s="15" t="n">
        <f aca="false">IF(B64&lt;=0.005,0,B64*Compare!$B$4/12)</f>
        <v>29.792679178177</v>
      </c>
      <c r="D65" s="15" t="n">
        <f aca="false">IF(B64&lt;=0.005,0,MIN(B64+C65,MAX(Compare!$B$7,B64*Compare!$B$5+IF(Compare!$B$6="Yes",C65,0))))</f>
        <v>46.0432314571826</v>
      </c>
      <c r="E65" s="15" t="n">
        <f aca="false">MAX(0,E64+F65-G65)</f>
        <v>0</v>
      </c>
      <c r="F65" s="15" t="n">
        <f aca="false">IF(E64&lt;=0.005,0,E64*Compare!$B$4/12)</f>
        <v>0</v>
      </c>
      <c r="G65" s="15" t="n">
        <f aca="false">IF(E64&lt;=0.005,0,MIN(E64+F65,Compare!$B$9))</f>
        <v>0</v>
      </c>
      <c r="H65" s="15" t="n">
        <f aca="false">MAX(0,H64+I65-J65)</f>
        <v>0</v>
      </c>
      <c r="I65" s="15" t="n">
        <f aca="false">IF(H64&lt;=0.005,0,H64*Compare!$B$4/12)</f>
        <v>0</v>
      </c>
      <c r="J65" s="15" t="n">
        <f aca="false">IF(H64&lt;=0.005,0,MIN(H64+I65,Compare!$B$9+Compare!$B$8))</f>
        <v>0</v>
      </c>
    </row>
    <row r="66" customFormat="false" ht="15" hidden="false" customHeight="false" outlineLevel="0" collapsed="false">
      <c r="A66" s="3" t="n">
        <v>63</v>
      </c>
      <c r="B66" s="15" t="n">
        <f aca="false">MAX(0,B65+C66-D66)</f>
        <v>1592.71662886534</v>
      </c>
      <c r="C66" s="15" t="n">
        <f aca="false">IF(B65&lt;=0.005,0,B65*Compare!$B$4/12)</f>
        <v>29.4947523863952</v>
      </c>
      <c r="D66" s="15" t="n">
        <f aca="false">IF(B65&lt;=0.005,0,MIN(B65+C66,MAX(Compare!$B$7,B65*Compare!$B$5+IF(Compare!$B$6="Yes",C66,0))))</f>
        <v>45.5827991426107</v>
      </c>
      <c r="E66" s="15" t="n">
        <f aca="false">MAX(0,E65+F66-G66)</f>
        <v>0</v>
      </c>
      <c r="F66" s="15" t="n">
        <f aca="false">IF(E65&lt;=0.005,0,E65*Compare!$B$4/12)</f>
        <v>0</v>
      </c>
      <c r="G66" s="15" t="n">
        <f aca="false">IF(E65&lt;=0.005,0,MIN(E65+F66,Compare!$B$9))</f>
        <v>0</v>
      </c>
      <c r="H66" s="15" t="n">
        <f aca="false">MAX(0,H65+I66-J66)</f>
        <v>0</v>
      </c>
      <c r="I66" s="15" t="n">
        <f aca="false">IF(H65&lt;=0.005,0,H65*Compare!$B$4/12)</f>
        <v>0</v>
      </c>
      <c r="J66" s="15" t="n">
        <f aca="false">IF(H65&lt;=0.005,0,MIN(H65+I66,Compare!$B$9+Compare!$B$8))</f>
        <v>0</v>
      </c>
    </row>
    <row r="67" customFormat="false" ht="15" hidden="false" customHeight="false" outlineLevel="0" collapsed="false">
      <c r="A67" s="3" t="n">
        <v>64</v>
      </c>
      <c r="B67" s="15" t="n">
        <f aca="false">MAX(0,B66+C67-D67)</f>
        <v>1576.78946257669</v>
      </c>
      <c r="C67" s="15" t="n">
        <f aca="false">IF(B66&lt;=0.005,0,B66*Compare!$B$4/12)</f>
        <v>29.1998048625312</v>
      </c>
      <c r="D67" s="15" t="n">
        <f aca="false">IF(B66&lt;=0.005,0,MIN(B66+C67,MAX(Compare!$B$7,B66*Compare!$B$5+IF(Compare!$B$6="Yes",C67,0))))</f>
        <v>45.1269711511846</v>
      </c>
      <c r="E67" s="15" t="n">
        <f aca="false">MAX(0,E66+F67-G67)</f>
        <v>0</v>
      </c>
      <c r="F67" s="15" t="n">
        <f aca="false">IF(E66&lt;=0.005,0,E66*Compare!$B$4/12)</f>
        <v>0</v>
      </c>
      <c r="G67" s="15" t="n">
        <f aca="false">IF(E66&lt;=0.005,0,MIN(E66+F67,Compare!$B$9))</f>
        <v>0</v>
      </c>
      <c r="H67" s="15" t="n">
        <f aca="false">MAX(0,H66+I67-J67)</f>
        <v>0</v>
      </c>
      <c r="I67" s="15" t="n">
        <f aca="false">IF(H66&lt;=0.005,0,H66*Compare!$B$4/12)</f>
        <v>0</v>
      </c>
      <c r="J67" s="15" t="n">
        <f aca="false">IF(H66&lt;=0.005,0,MIN(H66+I67,Compare!$B$9+Compare!$B$8))</f>
        <v>0</v>
      </c>
    </row>
    <row r="68" customFormat="false" ht="15" hidden="false" customHeight="false" outlineLevel="0" collapsed="false">
      <c r="A68" s="3" t="n">
        <v>65</v>
      </c>
      <c r="B68" s="15" t="n">
        <f aca="false">MAX(0,B67+C68-D68)</f>
        <v>1561.02156795092</v>
      </c>
      <c r="C68" s="15" t="n">
        <f aca="false">IF(B67&lt;=0.005,0,B67*Compare!$B$4/12)</f>
        <v>28.9078068139059</v>
      </c>
      <c r="D68" s="15" t="n">
        <f aca="false">IF(B67&lt;=0.005,0,MIN(B67+C68,MAX(Compare!$B$7,B67*Compare!$B$5+IF(Compare!$B$6="Yes",C68,0))))</f>
        <v>44.6757014396728</v>
      </c>
      <c r="E68" s="15" t="n">
        <f aca="false">MAX(0,E67+F68-G68)</f>
        <v>0</v>
      </c>
      <c r="F68" s="15" t="n">
        <f aca="false">IF(E67&lt;=0.005,0,E67*Compare!$B$4/12)</f>
        <v>0</v>
      </c>
      <c r="G68" s="15" t="n">
        <f aca="false">IF(E67&lt;=0.005,0,MIN(E67+F68,Compare!$B$9))</f>
        <v>0</v>
      </c>
      <c r="H68" s="15" t="n">
        <f aca="false">MAX(0,H67+I68-J68)</f>
        <v>0</v>
      </c>
      <c r="I68" s="15" t="n">
        <f aca="false">IF(H67&lt;=0.005,0,H67*Compare!$B$4/12)</f>
        <v>0</v>
      </c>
      <c r="J68" s="15" t="n">
        <f aca="false">IF(H67&lt;=0.005,0,MIN(H67+I68,Compare!$B$9+Compare!$B$8))</f>
        <v>0</v>
      </c>
    </row>
    <row r="69" customFormat="false" ht="15" hidden="false" customHeight="false" outlineLevel="0" collapsed="false">
      <c r="A69" s="3" t="n">
        <v>66</v>
      </c>
      <c r="B69" s="15" t="n">
        <f aca="false">MAX(0,B68+C69-D69)</f>
        <v>1545.41135227141</v>
      </c>
      <c r="C69" s="15" t="n">
        <f aca="false">IF(B68&lt;=0.005,0,B68*Compare!$B$4/12)</f>
        <v>28.6187287457669</v>
      </c>
      <c r="D69" s="15" t="n">
        <f aca="false">IF(B68&lt;=0.005,0,MIN(B68+C69,MAX(Compare!$B$7,B68*Compare!$B$5+IF(Compare!$B$6="Yes",C69,0))))</f>
        <v>44.2289444252761</v>
      </c>
      <c r="E69" s="15" t="n">
        <f aca="false">MAX(0,E68+F69-G69)</f>
        <v>0</v>
      </c>
      <c r="F69" s="15" t="n">
        <f aca="false">IF(E68&lt;=0.005,0,E68*Compare!$B$4/12)</f>
        <v>0</v>
      </c>
      <c r="G69" s="15" t="n">
        <f aca="false">IF(E68&lt;=0.005,0,MIN(E68+F69,Compare!$B$9))</f>
        <v>0</v>
      </c>
      <c r="H69" s="15" t="n">
        <f aca="false">MAX(0,H68+I69-J69)</f>
        <v>0</v>
      </c>
      <c r="I69" s="15" t="n">
        <f aca="false">IF(H68&lt;=0.005,0,H68*Compare!$B$4/12)</f>
        <v>0</v>
      </c>
      <c r="J69" s="15" t="n">
        <f aca="false">IF(H68&lt;=0.005,0,MIN(H68+I69,Compare!$B$9+Compare!$B$8))</f>
        <v>0</v>
      </c>
    </row>
    <row r="70" customFormat="false" ht="15" hidden="false" customHeight="false" outlineLevel="0" collapsed="false">
      <c r="A70" s="3" t="n">
        <v>67</v>
      </c>
      <c r="B70" s="15" t="n">
        <f aca="false">MAX(0,B69+C70-D70)</f>
        <v>1529.9572387487</v>
      </c>
      <c r="C70" s="15" t="n">
        <f aca="false">IF(B69&lt;=0.005,0,B69*Compare!$B$4/12)</f>
        <v>28.3325414583092</v>
      </c>
      <c r="D70" s="15" t="n">
        <f aca="false">IF(B69&lt;=0.005,0,MIN(B69+C70,MAX(Compare!$B$7,B69*Compare!$B$5+IF(Compare!$B$6="Yes",C70,0))))</f>
        <v>43.7866549810233</v>
      </c>
      <c r="E70" s="15" t="n">
        <f aca="false">MAX(0,E69+F70-G70)</f>
        <v>0</v>
      </c>
      <c r="F70" s="15" t="n">
        <f aca="false">IF(E69&lt;=0.005,0,E69*Compare!$B$4/12)</f>
        <v>0</v>
      </c>
      <c r="G70" s="15" t="n">
        <f aca="false">IF(E69&lt;=0.005,0,MIN(E69+F70,Compare!$B$9))</f>
        <v>0</v>
      </c>
      <c r="H70" s="15" t="n">
        <f aca="false">MAX(0,H69+I70-J70)</f>
        <v>0</v>
      </c>
      <c r="I70" s="15" t="n">
        <f aca="false">IF(H69&lt;=0.005,0,H69*Compare!$B$4/12)</f>
        <v>0</v>
      </c>
      <c r="J70" s="15" t="n">
        <f aca="false">IF(H69&lt;=0.005,0,MIN(H69+I70,Compare!$B$9+Compare!$B$8))</f>
        <v>0</v>
      </c>
    </row>
    <row r="71" customFormat="false" ht="15" hidden="false" customHeight="false" outlineLevel="0" collapsed="false">
      <c r="A71" s="3" t="n">
        <v>68</v>
      </c>
      <c r="B71" s="15" t="n">
        <f aca="false">MAX(0,B70+C71-D71)</f>
        <v>1514.65766636121</v>
      </c>
      <c r="C71" s="15" t="n">
        <f aca="false">IF(B70&lt;=0.005,0,B70*Compare!$B$4/12)</f>
        <v>28.0492160437261</v>
      </c>
      <c r="D71" s="15" t="n">
        <f aca="false">IF(B70&lt;=0.005,0,MIN(B70+C71,MAX(Compare!$B$7,B70*Compare!$B$5+IF(Compare!$B$6="Yes",C71,0))))</f>
        <v>43.3487884312131</v>
      </c>
      <c r="E71" s="15" t="n">
        <f aca="false">MAX(0,E70+F71-G71)</f>
        <v>0</v>
      </c>
      <c r="F71" s="15" t="n">
        <f aca="false">IF(E70&lt;=0.005,0,E70*Compare!$B$4/12)</f>
        <v>0</v>
      </c>
      <c r="G71" s="15" t="n">
        <f aca="false">IF(E70&lt;=0.005,0,MIN(E70+F71,Compare!$B$9))</f>
        <v>0</v>
      </c>
      <c r="H71" s="15" t="n">
        <f aca="false">MAX(0,H70+I71-J71)</f>
        <v>0</v>
      </c>
      <c r="I71" s="15" t="n">
        <f aca="false">IF(H70&lt;=0.005,0,H70*Compare!$B$4/12)</f>
        <v>0</v>
      </c>
      <c r="J71" s="15" t="n">
        <f aca="false">IF(H70&lt;=0.005,0,MIN(H70+I71,Compare!$B$9+Compare!$B$8))</f>
        <v>0</v>
      </c>
    </row>
    <row r="72" customFormat="false" ht="15" hidden="false" customHeight="false" outlineLevel="0" collapsed="false">
      <c r="A72" s="3" t="n">
        <v>69</v>
      </c>
      <c r="B72" s="15" t="n">
        <f aca="false">MAX(0,B71+C72-D72)</f>
        <v>1499.5110896976</v>
      </c>
      <c r="C72" s="15" t="n">
        <f aca="false">IF(B71&lt;=0.005,0,B71*Compare!$B$4/12)</f>
        <v>27.7687238832888</v>
      </c>
      <c r="D72" s="15" t="n">
        <f aca="false">IF(B71&lt;=0.005,0,MIN(B71+C72,MAX(Compare!$B$7,B71*Compare!$B$5+IF(Compare!$B$6="Yes",C72,0))))</f>
        <v>42.9153005469009</v>
      </c>
      <c r="E72" s="15" t="n">
        <f aca="false">MAX(0,E71+F72-G72)</f>
        <v>0</v>
      </c>
      <c r="F72" s="15" t="n">
        <f aca="false">IF(E71&lt;=0.005,0,E71*Compare!$B$4/12)</f>
        <v>0</v>
      </c>
      <c r="G72" s="15" t="n">
        <f aca="false">IF(E71&lt;=0.005,0,MIN(E71+F72,Compare!$B$9))</f>
        <v>0</v>
      </c>
      <c r="H72" s="15" t="n">
        <f aca="false">MAX(0,H71+I72-J72)</f>
        <v>0</v>
      </c>
      <c r="I72" s="15" t="n">
        <f aca="false">IF(H71&lt;=0.005,0,H71*Compare!$B$4/12)</f>
        <v>0</v>
      </c>
      <c r="J72" s="15" t="n">
        <f aca="false">IF(H71&lt;=0.005,0,MIN(H71+I72,Compare!$B$9+Compare!$B$8))</f>
        <v>0</v>
      </c>
    </row>
    <row r="73" customFormat="false" ht="15" hidden="false" customHeight="false" outlineLevel="0" collapsed="false">
      <c r="A73" s="3" t="n">
        <v>70</v>
      </c>
      <c r="B73" s="15" t="n">
        <f aca="false">MAX(0,B72+C73-D73)</f>
        <v>1484.51597880062</v>
      </c>
      <c r="C73" s="15" t="n">
        <f aca="false">IF(B72&lt;=0.005,0,B72*Compare!$B$4/12)</f>
        <v>27.491036644456</v>
      </c>
      <c r="D73" s="15" t="n">
        <f aca="false">IF(B72&lt;=0.005,0,MIN(B72+C73,MAX(Compare!$B$7,B72*Compare!$B$5+IF(Compare!$B$6="Yes",C73,0))))</f>
        <v>42.4861475414319</v>
      </c>
      <c r="E73" s="15" t="n">
        <f aca="false">MAX(0,E72+F73-G73)</f>
        <v>0</v>
      </c>
      <c r="F73" s="15" t="n">
        <f aca="false">IF(E72&lt;=0.005,0,E72*Compare!$B$4/12)</f>
        <v>0</v>
      </c>
      <c r="G73" s="15" t="n">
        <f aca="false">IF(E72&lt;=0.005,0,MIN(E72+F73,Compare!$B$9))</f>
        <v>0</v>
      </c>
      <c r="H73" s="15" t="n">
        <f aca="false">MAX(0,H72+I73-J73)</f>
        <v>0</v>
      </c>
      <c r="I73" s="15" t="n">
        <f aca="false">IF(H72&lt;=0.005,0,H72*Compare!$B$4/12)</f>
        <v>0</v>
      </c>
      <c r="J73" s="15" t="n">
        <f aca="false">IF(H72&lt;=0.005,0,MIN(H72+I73,Compare!$B$9+Compare!$B$8))</f>
        <v>0</v>
      </c>
    </row>
    <row r="74" customFormat="false" ht="15" hidden="false" customHeight="false" outlineLevel="0" collapsed="false">
      <c r="A74" s="3" t="n">
        <v>71</v>
      </c>
      <c r="B74" s="15" t="n">
        <f aca="false">MAX(0,B73+C74-D74)</f>
        <v>1469.67081901262</v>
      </c>
      <c r="C74" s="15" t="n">
        <f aca="false">IF(B73&lt;=0.005,0,B73*Compare!$B$4/12)</f>
        <v>27.2161262780114</v>
      </c>
      <c r="D74" s="15" t="n">
        <f aca="false">IF(B73&lt;=0.005,0,MIN(B73+C74,MAX(Compare!$B$7,B73*Compare!$B$5+IF(Compare!$B$6="Yes",C74,0))))</f>
        <v>42.0612860660176</v>
      </c>
      <c r="E74" s="15" t="n">
        <f aca="false">MAX(0,E73+F74-G74)</f>
        <v>0</v>
      </c>
      <c r="F74" s="15" t="n">
        <f aca="false">IF(E73&lt;=0.005,0,E73*Compare!$B$4/12)</f>
        <v>0</v>
      </c>
      <c r="G74" s="15" t="n">
        <f aca="false">IF(E73&lt;=0.005,0,MIN(E73+F74,Compare!$B$9))</f>
        <v>0</v>
      </c>
      <c r="H74" s="15" t="n">
        <f aca="false">MAX(0,H73+I74-J74)</f>
        <v>0</v>
      </c>
      <c r="I74" s="15" t="n">
        <f aca="false">IF(H73&lt;=0.005,0,H73*Compare!$B$4/12)</f>
        <v>0</v>
      </c>
      <c r="J74" s="15" t="n">
        <f aca="false">IF(H73&lt;=0.005,0,MIN(H73+I74,Compare!$B$9+Compare!$B$8))</f>
        <v>0</v>
      </c>
    </row>
    <row r="75" customFormat="false" ht="15" hidden="false" customHeight="false" outlineLevel="0" collapsed="false">
      <c r="A75" s="3" t="n">
        <v>72</v>
      </c>
      <c r="B75" s="15" t="n">
        <f aca="false">MAX(0,B74+C75-D75)</f>
        <v>1454.97411082249</v>
      </c>
      <c r="C75" s="15" t="n">
        <f aca="false">IF(B74&lt;=0.005,0,B74*Compare!$B$4/12)</f>
        <v>26.9439650152313</v>
      </c>
      <c r="D75" s="15" t="n">
        <f aca="false">IF(B74&lt;=0.005,0,MIN(B74+C75,MAX(Compare!$B$7,B74*Compare!$B$5+IF(Compare!$B$6="Yes",C75,0))))</f>
        <v>41.6406732053574</v>
      </c>
      <c r="E75" s="15" t="n">
        <f aca="false">MAX(0,E74+F75-G75)</f>
        <v>0</v>
      </c>
      <c r="F75" s="15" t="n">
        <f aca="false">IF(E74&lt;=0.005,0,E74*Compare!$B$4/12)</f>
        <v>0</v>
      </c>
      <c r="G75" s="15" t="n">
        <f aca="false">IF(E74&lt;=0.005,0,MIN(E74+F75,Compare!$B$9))</f>
        <v>0</v>
      </c>
      <c r="H75" s="15" t="n">
        <f aca="false">MAX(0,H74+I75-J75)</f>
        <v>0</v>
      </c>
      <c r="I75" s="15" t="n">
        <f aca="false">IF(H74&lt;=0.005,0,H74*Compare!$B$4/12)</f>
        <v>0</v>
      </c>
      <c r="J75" s="15" t="n">
        <f aca="false">IF(H74&lt;=0.005,0,MIN(H74+I75,Compare!$B$9+Compare!$B$8))</f>
        <v>0</v>
      </c>
    </row>
    <row r="76" customFormat="false" ht="15" hidden="false" customHeight="false" outlineLevel="0" collapsed="false">
      <c r="A76" s="3" t="n">
        <v>73</v>
      </c>
      <c r="B76" s="15" t="n">
        <f aca="false">MAX(0,B75+C76-D76)</f>
        <v>1440.42436971426</v>
      </c>
      <c r="C76" s="15" t="n">
        <f aca="false">IF(B75&lt;=0.005,0,B75*Compare!$B$4/12)</f>
        <v>26.674525365079</v>
      </c>
      <c r="D76" s="15" t="n">
        <f aca="false">IF(B75&lt;=0.005,0,MIN(B75+C76,MAX(Compare!$B$7,B75*Compare!$B$5+IF(Compare!$B$6="Yes",C76,0))))</f>
        <v>41.2242664733039</v>
      </c>
      <c r="E76" s="15" t="n">
        <f aca="false">MAX(0,E75+F76-G76)</f>
        <v>0</v>
      </c>
      <c r="F76" s="15" t="n">
        <f aca="false">IF(E75&lt;=0.005,0,E75*Compare!$B$4/12)</f>
        <v>0</v>
      </c>
      <c r="G76" s="15" t="n">
        <f aca="false">IF(E75&lt;=0.005,0,MIN(E75+F76,Compare!$B$9))</f>
        <v>0</v>
      </c>
      <c r="H76" s="15" t="n">
        <f aca="false">MAX(0,H75+I76-J76)</f>
        <v>0</v>
      </c>
      <c r="I76" s="15" t="n">
        <f aca="false">IF(H75&lt;=0.005,0,H75*Compare!$B$4/12)</f>
        <v>0</v>
      </c>
      <c r="J76" s="15" t="n">
        <f aca="false">IF(H75&lt;=0.005,0,MIN(H75+I76,Compare!$B$9+Compare!$B$8))</f>
        <v>0</v>
      </c>
    </row>
    <row r="77" customFormat="false" ht="15" hidden="false" customHeight="false" outlineLevel="0" collapsed="false">
      <c r="A77" s="3" t="n">
        <v>74</v>
      </c>
      <c r="B77" s="15" t="n">
        <f aca="false">MAX(0,B76+C77-D77)</f>
        <v>1426.02012601712</v>
      </c>
      <c r="C77" s="15" t="n">
        <f aca="false">IF(B76&lt;=0.005,0,B76*Compare!$B$4/12)</f>
        <v>26.4077801114282</v>
      </c>
      <c r="D77" s="15" t="n">
        <f aca="false">IF(B76&lt;=0.005,0,MIN(B76+C77,MAX(Compare!$B$7,B76*Compare!$B$5+IF(Compare!$B$6="Yes",C77,0))))</f>
        <v>40.8120238085708</v>
      </c>
      <c r="E77" s="15" t="n">
        <f aca="false">MAX(0,E76+F77-G77)</f>
        <v>0</v>
      </c>
      <c r="F77" s="15" t="n">
        <f aca="false">IF(E76&lt;=0.005,0,E76*Compare!$B$4/12)</f>
        <v>0</v>
      </c>
      <c r="G77" s="15" t="n">
        <f aca="false">IF(E76&lt;=0.005,0,MIN(E76+F77,Compare!$B$9))</f>
        <v>0</v>
      </c>
      <c r="H77" s="15" t="n">
        <f aca="false">MAX(0,H76+I77-J77)</f>
        <v>0</v>
      </c>
      <c r="I77" s="15" t="n">
        <f aca="false">IF(H76&lt;=0.005,0,H76*Compare!$B$4/12)</f>
        <v>0</v>
      </c>
      <c r="J77" s="15" t="n">
        <f aca="false">IF(H76&lt;=0.005,0,MIN(H76+I77,Compare!$B$9+Compare!$B$8))</f>
        <v>0</v>
      </c>
    </row>
    <row r="78" customFormat="false" ht="15" hidden="false" customHeight="false" outlineLevel="0" collapsed="false">
      <c r="A78" s="3" t="n">
        <v>75</v>
      </c>
      <c r="B78" s="15" t="n">
        <f aca="false">MAX(0,B77+C78-D78)</f>
        <v>1411.75992475695</v>
      </c>
      <c r="C78" s="15" t="n">
        <f aca="false">IF(B77&lt;=0.005,0,B77*Compare!$B$4/12)</f>
        <v>26.1437023103139</v>
      </c>
      <c r="D78" s="15" t="n">
        <f aca="false">IF(B77&lt;=0.005,0,MIN(B77+C78,MAX(Compare!$B$7,B77*Compare!$B$5+IF(Compare!$B$6="Yes",C78,0))))</f>
        <v>40.4039035704851</v>
      </c>
      <c r="E78" s="15" t="n">
        <f aca="false">MAX(0,E77+F78-G78)</f>
        <v>0</v>
      </c>
      <c r="F78" s="15" t="n">
        <f aca="false">IF(E77&lt;=0.005,0,E77*Compare!$B$4/12)</f>
        <v>0</v>
      </c>
      <c r="G78" s="15" t="n">
        <f aca="false">IF(E77&lt;=0.005,0,MIN(E77+F78,Compare!$B$9))</f>
        <v>0</v>
      </c>
      <c r="H78" s="15" t="n">
        <f aca="false">MAX(0,H77+I78-J78)</f>
        <v>0</v>
      </c>
      <c r="I78" s="15" t="n">
        <f aca="false">IF(H77&lt;=0.005,0,H77*Compare!$B$4/12)</f>
        <v>0</v>
      </c>
      <c r="J78" s="15" t="n">
        <f aca="false">IF(H77&lt;=0.005,0,MIN(H77+I78,Compare!$B$9+Compare!$B$8))</f>
        <v>0</v>
      </c>
    </row>
    <row r="79" customFormat="false" ht="15" hidden="false" customHeight="false" outlineLevel="0" collapsed="false">
      <c r="A79" s="3" t="n">
        <v>76</v>
      </c>
      <c r="B79" s="15" t="n">
        <f aca="false">MAX(0,B78+C79-D79)</f>
        <v>1397.64232550938</v>
      </c>
      <c r="C79" s="15" t="n">
        <f aca="false">IF(B78&lt;=0.005,0,B78*Compare!$B$4/12)</f>
        <v>25.8822652872108</v>
      </c>
      <c r="D79" s="15" t="n">
        <f aca="false">IF(B78&lt;=0.005,0,MIN(B78+C79,MAX(Compare!$B$7,B78*Compare!$B$5+IF(Compare!$B$6="Yes",C79,0))))</f>
        <v>39.9998645347803</v>
      </c>
      <c r="E79" s="15" t="n">
        <f aca="false">MAX(0,E78+F79-G79)</f>
        <v>0</v>
      </c>
      <c r="F79" s="15" t="n">
        <f aca="false">IF(E78&lt;=0.005,0,E78*Compare!$B$4/12)</f>
        <v>0</v>
      </c>
      <c r="G79" s="15" t="n">
        <f aca="false">IF(E78&lt;=0.005,0,MIN(E78+F79,Compare!$B$9))</f>
        <v>0</v>
      </c>
      <c r="H79" s="15" t="n">
        <f aca="false">MAX(0,H78+I79-J79)</f>
        <v>0</v>
      </c>
      <c r="I79" s="15" t="n">
        <f aca="false">IF(H78&lt;=0.005,0,H78*Compare!$B$4/12)</f>
        <v>0</v>
      </c>
      <c r="J79" s="15" t="n">
        <f aca="false">IF(H78&lt;=0.005,0,MIN(H78+I79,Compare!$B$9+Compare!$B$8))</f>
        <v>0</v>
      </c>
    </row>
    <row r="80" customFormat="false" ht="15" hidden="false" customHeight="false" outlineLevel="0" collapsed="false">
      <c r="A80" s="3" t="n">
        <v>77</v>
      </c>
      <c r="B80" s="15" t="n">
        <f aca="false">MAX(0,B79+C80-D80)</f>
        <v>1383.66590225429</v>
      </c>
      <c r="C80" s="15" t="n">
        <f aca="false">IF(B79&lt;=0.005,0,B79*Compare!$B$4/12)</f>
        <v>25.6234426343386</v>
      </c>
      <c r="D80" s="15" t="n">
        <f aca="false">IF(B79&lt;=0.005,0,MIN(B79+C80,MAX(Compare!$B$7,B79*Compare!$B$5+IF(Compare!$B$6="Yes",C80,0))))</f>
        <v>39.5998658894325</v>
      </c>
      <c r="E80" s="15" t="n">
        <f aca="false">MAX(0,E79+F80-G80)</f>
        <v>0</v>
      </c>
      <c r="F80" s="15" t="n">
        <f aca="false">IF(E79&lt;=0.005,0,E79*Compare!$B$4/12)</f>
        <v>0</v>
      </c>
      <c r="G80" s="15" t="n">
        <f aca="false">IF(E79&lt;=0.005,0,MIN(E79+F80,Compare!$B$9))</f>
        <v>0</v>
      </c>
      <c r="H80" s="15" t="n">
        <f aca="false">MAX(0,H79+I80-J80)</f>
        <v>0</v>
      </c>
      <c r="I80" s="15" t="n">
        <f aca="false">IF(H79&lt;=0.005,0,H79*Compare!$B$4/12)</f>
        <v>0</v>
      </c>
      <c r="J80" s="15" t="n">
        <f aca="false">IF(H79&lt;=0.005,0,MIN(H79+I80,Compare!$B$9+Compare!$B$8))</f>
        <v>0</v>
      </c>
    </row>
    <row r="81" customFormat="false" ht="15" hidden="false" customHeight="false" outlineLevel="0" collapsed="false">
      <c r="A81" s="3" t="n">
        <v>78</v>
      </c>
      <c r="B81" s="15" t="n">
        <f aca="false">MAX(0,B80+C81-D81)</f>
        <v>1369.82924323174</v>
      </c>
      <c r="C81" s="15" t="n">
        <f aca="false">IF(B80&lt;=0.005,0,B80*Compare!$B$4/12)</f>
        <v>25.3672082079953</v>
      </c>
      <c r="D81" s="15" t="n">
        <f aca="false">IF(B80&lt;=0.005,0,MIN(B80+C81,MAX(Compare!$B$7,B80*Compare!$B$5+IF(Compare!$B$6="Yes",C81,0))))</f>
        <v>39.2038672305381</v>
      </c>
      <c r="E81" s="15" t="n">
        <f aca="false">MAX(0,E80+F81-G81)</f>
        <v>0</v>
      </c>
      <c r="F81" s="15" t="n">
        <f aca="false">IF(E80&lt;=0.005,0,E80*Compare!$B$4/12)</f>
        <v>0</v>
      </c>
      <c r="G81" s="15" t="n">
        <f aca="false">IF(E80&lt;=0.005,0,MIN(E80+F81,Compare!$B$9))</f>
        <v>0</v>
      </c>
      <c r="H81" s="15" t="n">
        <f aca="false">MAX(0,H80+I81-J81)</f>
        <v>0</v>
      </c>
      <c r="I81" s="15" t="n">
        <f aca="false">IF(H80&lt;=0.005,0,H80*Compare!$B$4/12)</f>
        <v>0</v>
      </c>
      <c r="J81" s="15" t="n">
        <f aca="false">IF(H80&lt;=0.005,0,MIN(H80+I81,Compare!$B$9+Compare!$B$8))</f>
        <v>0</v>
      </c>
    </row>
    <row r="82" customFormat="false" ht="15" hidden="false" customHeight="false" outlineLevel="0" collapsed="false">
      <c r="A82" s="3" t="n">
        <v>79</v>
      </c>
      <c r="B82" s="15" t="n">
        <f aca="false">MAX(0,B81+C82-D82)</f>
        <v>1356.13095079943</v>
      </c>
      <c r="C82" s="15" t="n">
        <f aca="false">IF(B81&lt;=0.005,0,B81*Compare!$B$4/12)</f>
        <v>25.1135361259153</v>
      </c>
      <c r="D82" s="15" t="n">
        <f aca="false">IF(B81&lt;=0.005,0,MIN(B81+C82,MAX(Compare!$B$7,B81*Compare!$B$5+IF(Compare!$B$6="Yes",C82,0))))</f>
        <v>38.8118285582328</v>
      </c>
      <c r="E82" s="15" t="n">
        <f aca="false">MAX(0,E81+F82-G82)</f>
        <v>0</v>
      </c>
      <c r="F82" s="15" t="n">
        <f aca="false">IF(E81&lt;=0.005,0,E81*Compare!$B$4/12)</f>
        <v>0</v>
      </c>
      <c r="G82" s="15" t="n">
        <f aca="false">IF(E81&lt;=0.005,0,MIN(E81+F82,Compare!$B$9))</f>
        <v>0</v>
      </c>
      <c r="H82" s="15" t="n">
        <f aca="false">MAX(0,H81+I82-J82)</f>
        <v>0</v>
      </c>
      <c r="I82" s="15" t="n">
        <f aca="false">IF(H81&lt;=0.005,0,H81*Compare!$B$4/12)</f>
        <v>0</v>
      </c>
      <c r="J82" s="15" t="n">
        <f aca="false">IF(H81&lt;=0.005,0,MIN(H81+I82,Compare!$B$9+Compare!$B$8))</f>
        <v>0</v>
      </c>
    </row>
    <row r="83" customFormat="false" ht="15" hidden="false" customHeight="false" outlineLevel="0" collapsed="false">
      <c r="A83" s="3" t="n">
        <v>80</v>
      </c>
      <c r="B83" s="15" t="n">
        <f aca="false">MAX(0,B82+C83-D83)</f>
        <v>1342.56964129143</v>
      </c>
      <c r="C83" s="15" t="n">
        <f aca="false">IF(B82&lt;=0.005,0,B82*Compare!$B$4/12)</f>
        <v>24.8624007646562</v>
      </c>
      <c r="D83" s="15" t="n">
        <f aca="false">IF(B82&lt;=0.005,0,MIN(B82+C83,MAX(Compare!$B$7,B82*Compare!$B$5+IF(Compare!$B$6="Yes",C83,0))))</f>
        <v>38.4237102726504</v>
      </c>
      <c r="E83" s="15" t="n">
        <f aca="false">MAX(0,E82+F83-G83)</f>
        <v>0</v>
      </c>
      <c r="F83" s="15" t="n">
        <f aca="false">IF(E82&lt;=0.005,0,E82*Compare!$B$4/12)</f>
        <v>0</v>
      </c>
      <c r="G83" s="15" t="n">
        <f aca="false">IF(E82&lt;=0.005,0,MIN(E82+F83,Compare!$B$9))</f>
        <v>0</v>
      </c>
      <c r="H83" s="15" t="n">
        <f aca="false">MAX(0,H82+I83-J83)</f>
        <v>0</v>
      </c>
      <c r="I83" s="15" t="n">
        <f aca="false">IF(H82&lt;=0.005,0,H82*Compare!$B$4/12)</f>
        <v>0</v>
      </c>
      <c r="J83" s="15" t="n">
        <f aca="false">IF(H82&lt;=0.005,0,MIN(H82+I83,Compare!$B$9+Compare!$B$8))</f>
        <v>0</v>
      </c>
    </row>
    <row r="84" customFormat="false" ht="15" hidden="false" customHeight="false" outlineLevel="0" collapsed="false">
      <c r="A84" s="3" t="n">
        <v>81</v>
      </c>
      <c r="B84" s="15" t="n">
        <f aca="false">MAX(0,B83+C84-D84)</f>
        <v>1329.14394487852</v>
      </c>
      <c r="C84" s="15" t="n">
        <f aca="false">IF(B83&lt;=0.005,0,B83*Compare!$B$4/12)</f>
        <v>24.6137767570096</v>
      </c>
      <c r="D84" s="15" t="n">
        <f aca="false">IF(B83&lt;=0.005,0,MIN(B83+C84,MAX(Compare!$B$7,B83*Compare!$B$5+IF(Compare!$B$6="Yes",C84,0))))</f>
        <v>38.0394731699239</v>
      </c>
      <c r="E84" s="15" t="n">
        <f aca="false">MAX(0,E83+F84-G84)</f>
        <v>0</v>
      </c>
      <c r="F84" s="15" t="n">
        <f aca="false">IF(E83&lt;=0.005,0,E83*Compare!$B$4/12)</f>
        <v>0</v>
      </c>
      <c r="G84" s="15" t="n">
        <f aca="false">IF(E83&lt;=0.005,0,MIN(E83+F84,Compare!$B$9))</f>
        <v>0</v>
      </c>
      <c r="H84" s="15" t="n">
        <f aca="false">MAX(0,H83+I84-J84)</f>
        <v>0</v>
      </c>
      <c r="I84" s="15" t="n">
        <f aca="false">IF(H83&lt;=0.005,0,H83*Compare!$B$4/12)</f>
        <v>0</v>
      </c>
      <c r="J84" s="15" t="n">
        <f aca="false">IF(H83&lt;=0.005,0,MIN(H83+I84,Compare!$B$9+Compare!$B$8))</f>
        <v>0</v>
      </c>
    </row>
    <row r="85" customFormat="false" ht="15" hidden="false" customHeight="false" outlineLevel="0" collapsed="false">
      <c r="A85" s="3" t="n">
        <v>82</v>
      </c>
      <c r="B85" s="15" t="n">
        <f aca="false">MAX(0,B84+C85-D85)</f>
        <v>1315.85250542973</v>
      </c>
      <c r="C85" s="15" t="n">
        <f aca="false">IF(B84&lt;=0.005,0,B84*Compare!$B$4/12)</f>
        <v>24.3676389894395</v>
      </c>
      <c r="D85" s="15" t="n">
        <f aca="false">IF(B84&lt;=0.005,0,MIN(B84+C85,MAX(Compare!$B$7,B84*Compare!$B$5+IF(Compare!$B$6="Yes",C85,0))))</f>
        <v>37.6590784382247</v>
      </c>
      <c r="E85" s="15" t="n">
        <f aca="false">MAX(0,E84+F85-G85)</f>
        <v>0</v>
      </c>
      <c r="F85" s="15" t="n">
        <f aca="false">IF(E84&lt;=0.005,0,E84*Compare!$B$4/12)</f>
        <v>0</v>
      </c>
      <c r="G85" s="15" t="n">
        <f aca="false">IF(E84&lt;=0.005,0,MIN(E84+F85,Compare!$B$9))</f>
        <v>0</v>
      </c>
      <c r="H85" s="15" t="n">
        <f aca="false">MAX(0,H84+I85-J85)</f>
        <v>0</v>
      </c>
      <c r="I85" s="15" t="n">
        <f aca="false">IF(H84&lt;=0.005,0,H84*Compare!$B$4/12)</f>
        <v>0</v>
      </c>
      <c r="J85" s="15" t="n">
        <f aca="false">IF(H84&lt;=0.005,0,MIN(H84+I85,Compare!$B$9+Compare!$B$8))</f>
        <v>0</v>
      </c>
    </row>
    <row r="86" customFormat="false" ht="15" hidden="false" customHeight="false" outlineLevel="0" collapsed="false">
      <c r="A86" s="3" t="n">
        <v>83</v>
      </c>
      <c r="B86" s="15" t="n">
        <f aca="false">MAX(0,B85+C86-D86)</f>
        <v>1302.69398037544</v>
      </c>
      <c r="C86" s="15" t="n">
        <f aca="false">IF(B85&lt;=0.005,0,B85*Compare!$B$4/12)</f>
        <v>24.1239625995451</v>
      </c>
      <c r="D86" s="15" t="n">
        <f aca="false">IF(B85&lt;=0.005,0,MIN(B85+C86,MAX(Compare!$B$7,B85*Compare!$B$5+IF(Compare!$B$6="Yes",C86,0))))</f>
        <v>37.2824876538424</v>
      </c>
      <c r="E86" s="15" t="n">
        <f aca="false">MAX(0,E85+F86-G86)</f>
        <v>0</v>
      </c>
      <c r="F86" s="15" t="n">
        <f aca="false">IF(E85&lt;=0.005,0,E85*Compare!$B$4/12)</f>
        <v>0</v>
      </c>
      <c r="G86" s="15" t="n">
        <f aca="false">IF(E85&lt;=0.005,0,MIN(E85+F86,Compare!$B$9))</f>
        <v>0</v>
      </c>
      <c r="H86" s="15" t="n">
        <f aca="false">MAX(0,H85+I86-J86)</f>
        <v>0</v>
      </c>
      <c r="I86" s="15" t="n">
        <f aca="false">IF(H85&lt;=0.005,0,H85*Compare!$B$4/12)</f>
        <v>0</v>
      </c>
      <c r="J86" s="15" t="n">
        <f aca="false">IF(H85&lt;=0.005,0,MIN(H85+I86,Compare!$B$9+Compare!$B$8))</f>
        <v>0</v>
      </c>
    </row>
    <row r="87" customFormat="false" ht="15" hidden="false" customHeight="false" outlineLevel="0" collapsed="false">
      <c r="A87" s="3" t="n">
        <v>84</v>
      </c>
      <c r="B87" s="15" t="n">
        <f aca="false">MAX(0,B86+C87-D87)</f>
        <v>1289.66704057168</v>
      </c>
      <c r="C87" s="15" t="n">
        <f aca="false">IF(B86&lt;=0.005,0,B86*Compare!$B$4/12)</f>
        <v>23.8827229735497</v>
      </c>
      <c r="D87" s="15" t="n">
        <f aca="false">IF(B86&lt;=0.005,0,MIN(B86+C87,MAX(Compare!$B$7,B86*Compare!$B$5+IF(Compare!$B$6="Yes",C87,0))))</f>
        <v>36.909662777304</v>
      </c>
      <c r="E87" s="15" t="n">
        <f aca="false">MAX(0,E86+F87-G87)</f>
        <v>0</v>
      </c>
      <c r="F87" s="15" t="n">
        <f aca="false">IF(E86&lt;=0.005,0,E86*Compare!$B$4/12)</f>
        <v>0</v>
      </c>
      <c r="G87" s="15" t="n">
        <f aca="false">IF(E86&lt;=0.005,0,MIN(E86+F87,Compare!$B$9))</f>
        <v>0</v>
      </c>
      <c r="H87" s="15" t="n">
        <f aca="false">MAX(0,H86+I87-J87)</f>
        <v>0</v>
      </c>
      <c r="I87" s="15" t="n">
        <f aca="false">IF(H86&lt;=0.005,0,H86*Compare!$B$4/12)</f>
        <v>0</v>
      </c>
      <c r="J87" s="15" t="n">
        <f aca="false">IF(H86&lt;=0.005,0,MIN(H86+I87,Compare!$B$9+Compare!$B$8))</f>
        <v>0</v>
      </c>
    </row>
    <row r="88" customFormat="false" ht="15" hidden="false" customHeight="false" outlineLevel="0" collapsed="false">
      <c r="A88" s="3" t="n">
        <v>85</v>
      </c>
      <c r="B88" s="15" t="n">
        <f aca="false">MAX(0,B87+C88-D88)</f>
        <v>1276.77037016596</v>
      </c>
      <c r="C88" s="15" t="n">
        <f aca="false">IF(B87&lt;=0.005,0,B87*Compare!$B$4/12)</f>
        <v>23.6438957438142</v>
      </c>
      <c r="D88" s="15" t="n">
        <f aca="false">IF(B87&lt;=0.005,0,MIN(B87+C88,MAX(Compare!$B$7,B87*Compare!$B$5+IF(Compare!$B$6="Yes",C88,0))))</f>
        <v>36.540566149531</v>
      </c>
      <c r="E88" s="15" t="n">
        <f aca="false">MAX(0,E87+F88-G88)</f>
        <v>0</v>
      </c>
      <c r="F88" s="15" t="n">
        <f aca="false">IF(E87&lt;=0.005,0,E87*Compare!$B$4/12)</f>
        <v>0</v>
      </c>
      <c r="G88" s="15" t="n">
        <f aca="false">IF(E87&lt;=0.005,0,MIN(E87+F88,Compare!$B$9))</f>
        <v>0</v>
      </c>
      <c r="H88" s="15" t="n">
        <f aca="false">MAX(0,H87+I88-J88)</f>
        <v>0</v>
      </c>
      <c r="I88" s="15" t="n">
        <f aca="false">IF(H87&lt;=0.005,0,H87*Compare!$B$4/12)</f>
        <v>0</v>
      </c>
      <c r="J88" s="15" t="n">
        <f aca="false">IF(H87&lt;=0.005,0,MIN(H87+I88,Compare!$B$9+Compare!$B$8))</f>
        <v>0</v>
      </c>
    </row>
    <row r="89" customFormat="false" ht="15" hidden="false" customHeight="false" outlineLevel="0" collapsed="false">
      <c r="A89" s="3" t="n">
        <v>86</v>
      </c>
      <c r="B89" s="15" t="n">
        <f aca="false">MAX(0,B88+C89-D89)</f>
        <v>1264.0026664643</v>
      </c>
      <c r="C89" s="15" t="n">
        <f aca="false">IF(B88&lt;=0.005,0,B88*Compare!$B$4/12)</f>
        <v>23.407456786376</v>
      </c>
      <c r="D89" s="15" t="n">
        <f aca="false">IF(B88&lt;=0.005,0,MIN(B88+C89,MAX(Compare!$B$7,B88*Compare!$B$5+IF(Compare!$B$6="Yes",C89,0))))</f>
        <v>36.1751604880357</v>
      </c>
      <c r="E89" s="15" t="n">
        <f aca="false">MAX(0,E88+F89-G89)</f>
        <v>0</v>
      </c>
      <c r="F89" s="15" t="n">
        <f aca="false">IF(E88&lt;=0.005,0,E88*Compare!$B$4/12)</f>
        <v>0</v>
      </c>
      <c r="G89" s="15" t="n">
        <f aca="false">IF(E88&lt;=0.005,0,MIN(E88+F89,Compare!$B$9))</f>
        <v>0</v>
      </c>
      <c r="H89" s="15" t="n">
        <f aca="false">MAX(0,H88+I89-J89)</f>
        <v>0</v>
      </c>
      <c r="I89" s="15" t="n">
        <f aca="false">IF(H88&lt;=0.005,0,H88*Compare!$B$4/12)</f>
        <v>0</v>
      </c>
      <c r="J89" s="15" t="n">
        <f aca="false">IF(H88&lt;=0.005,0,MIN(H88+I89,Compare!$B$9+Compare!$B$8))</f>
        <v>0</v>
      </c>
    </row>
    <row r="90" customFormat="false" ht="15" hidden="false" customHeight="false" outlineLevel="0" collapsed="false">
      <c r="A90" s="3" t="n">
        <v>87</v>
      </c>
      <c r="B90" s="15" t="n">
        <f aca="false">MAX(0,B89+C90-D90)</f>
        <v>1251.36263979966</v>
      </c>
      <c r="C90" s="15" t="n">
        <f aca="false">IF(B89&lt;=0.005,0,B89*Compare!$B$4/12)</f>
        <v>23.1733822185123</v>
      </c>
      <c r="D90" s="15" t="n">
        <f aca="false">IF(B89&lt;=0.005,0,MIN(B89+C90,MAX(Compare!$B$7,B89*Compare!$B$5+IF(Compare!$B$6="Yes",C90,0))))</f>
        <v>35.8134088831553</v>
      </c>
      <c r="E90" s="15" t="n">
        <f aca="false">MAX(0,E89+F90-G90)</f>
        <v>0</v>
      </c>
      <c r="F90" s="15" t="n">
        <f aca="false">IF(E89&lt;=0.005,0,E89*Compare!$B$4/12)</f>
        <v>0</v>
      </c>
      <c r="G90" s="15" t="n">
        <f aca="false">IF(E89&lt;=0.005,0,MIN(E89+F90,Compare!$B$9))</f>
        <v>0</v>
      </c>
      <c r="H90" s="15" t="n">
        <f aca="false">MAX(0,H89+I90-J90)</f>
        <v>0</v>
      </c>
      <c r="I90" s="15" t="n">
        <f aca="false">IF(H89&lt;=0.005,0,H89*Compare!$B$4/12)</f>
        <v>0</v>
      </c>
      <c r="J90" s="15" t="n">
        <f aca="false">IF(H89&lt;=0.005,0,MIN(H89+I90,Compare!$B$9+Compare!$B$8))</f>
        <v>0</v>
      </c>
    </row>
    <row r="91" customFormat="false" ht="15" hidden="false" customHeight="false" outlineLevel="0" collapsed="false">
      <c r="A91" s="3" t="n">
        <v>88</v>
      </c>
      <c r="B91" s="15" t="n">
        <f aca="false">MAX(0,B90+C91-D91)</f>
        <v>1238.84901340167</v>
      </c>
      <c r="C91" s="15" t="n">
        <f aca="false">IF(B90&lt;=0.005,0,B90*Compare!$B$4/12)</f>
        <v>22.9416483963271</v>
      </c>
      <c r="D91" s="15" t="n">
        <f aca="false">IF(B90&lt;=0.005,0,MIN(B90+C91,MAX(Compare!$B$7,B90*Compare!$B$5+IF(Compare!$B$6="Yes",C91,0))))</f>
        <v>35.4552747943237</v>
      </c>
      <c r="E91" s="15" t="n">
        <f aca="false">MAX(0,E90+F91-G91)</f>
        <v>0</v>
      </c>
      <c r="F91" s="15" t="n">
        <f aca="false">IF(E90&lt;=0.005,0,E90*Compare!$B$4/12)</f>
        <v>0</v>
      </c>
      <c r="G91" s="15" t="n">
        <f aca="false">IF(E90&lt;=0.005,0,MIN(E90+F91,Compare!$B$9))</f>
        <v>0</v>
      </c>
      <c r="H91" s="15" t="n">
        <f aca="false">MAX(0,H90+I91-J91)</f>
        <v>0</v>
      </c>
      <c r="I91" s="15" t="n">
        <f aca="false">IF(H90&lt;=0.005,0,H90*Compare!$B$4/12)</f>
        <v>0</v>
      </c>
      <c r="J91" s="15" t="n">
        <f aca="false">IF(H90&lt;=0.005,0,MIN(H90+I91,Compare!$B$9+Compare!$B$8))</f>
        <v>0</v>
      </c>
    </row>
    <row r="92" customFormat="false" ht="15" hidden="false" customHeight="false" outlineLevel="0" collapsed="false">
      <c r="A92" s="3" t="n">
        <v>89</v>
      </c>
      <c r="B92" s="15" t="n">
        <f aca="false">MAX(0,B91+C92-D92)</f>
        <v>1226.46052326765</v>
      </c>
      <c r="C92" s="15" t="n">
        <f aca="false">IF(B91&lt;=0.005,0,B91*Compare!$B$4/12)</f>
        <v>22.7122319123639</v>
      </c>
      <c r="D92" s="15" t="n">
        <f aca="false">IF(B91&lt;=0.005,0,MIN(B91+C92,MAX(Compare!$B$7,B91*Compare!$B$5+IF(Compare!$B$6="Yes",C92,0))))</f>
        <v>35.1007220463805</v>
      </c>
      <c r="E92" s="15" t="n">
        <f aca="false">MAX(0,E91+F92-G92)</f>
        <v>0</v>
      </c>
      <c r="F92" s="15" t="n">
        <f aca="false">IF(E91&lt;=0.005,0,E91*Compare!$B$4/12)</f>
        <v>0</v>
      </c>
      <c r="G92" s="15" t="n">
        <f aca="false">IF(E91&lt;=0.005,0,MIN(E91+F92,Compare!$B$9))</f>
        <v>0</v>
      </c>
      <c r="H92" s="15" t="n">
        <f aca="false">MAX(0,H91+I92-J92)</f>
        <v>0</v>
      </c>
      <c r="I92" s="15" t="n">
        <f aca="false">IF(H91&lt;=0.005,0,H91*Compare!$B$4/12)</f>
        <v>0</v>
      </c>
      <c r="J92" s="15" t="n">
        <f aca="false">IF(H91&lt;=0.005,0,MIN(H91+I92,Compare!$B$9+Compare!$B$8))</f>
        <v>0</v>
      </c>
    </row>
    <row r="93" customFormat="false" ht="15" hidden="false" customHeight="false" outlineLevel="0" collapsed="false">
      <c r="A93" s="3" t="n">
        <v>90</v>
      </c>
      <c r="B93" s="15" t="n">
        <f aca="false">MAX(0,B92+C93-D93)</f>
        <v>1214.19591803497</v>
      </c>
      <c r="C93" s="15" t="n">
        <f aca="false">IF(B92&lt;=0.005,0,B92*Compare!$B$4/12)</f>
        <v>22.4851095932402</v>
      </c>
      <c r="D93" s="15" t="n">
        <f aca="false">IF(B92&lt;=0.005,0,MIN(B92+C93,MAX(Compare!$B$7,B92*Compare!$B$5+IF(Compare!$B$6="Yes",C93,0))))</f>
        <v>34.7497148259167</v>
      </c>
      <c r="E93" s="15" t="n">
        <f aca="false">MAX(0,E92+F93-G93)</f>
        <v>0</v>
      </c>
      <c r="F93" s="15" t="n">
        <f aca="false">IF(E92&lt;=0.005,0,E92*Compare!$B$4/12)</f>
        <v>0</v>
      </c>
      <c r="G93" s="15" t="n">
        <f aca="false">IF(E92&lt;=0.005,0,MIN(E92+F93,Compare!$B$9))</f>
        <v>0</v>
      </c>
      <c r="H93" s="15" t="n">
        <f aca="false">MAX(0,H92+I93-J93)</f>
        <v>0</v>
      </c>
      <c r="I93" s="15" t="n">
        <f aca="false">IF(H92&lt;=0.005,0,H92*Compare!$B$4/12)</f>
        <v>0</v>
      </c>
      <c r="J93" s="15" t="n">
        <f aca="false">IF(H92&lt;=0.005,0,MIN(H92+I93,Compare!$B$9+Compare!$B$8))</f>
        <v>0</v>
      </c>
    </row>
    <row r="94" customFormat="false" ht="15" hidden="false" customHeight="false" outlineLevel="0" collapsed="false">
      <c r="A94" s="3" t="n">
        <v>91</v>
      </c>
      <c r="B94" s="15" t="n">
        <f aca="false">MAX(0,B93+C94-D94)</f>
        <v>1202.05395885462</v>
      </c>
      <c r="C94" s="15" t="n">
        <f aca="false">IF(B93&lt;=0.005,0,B93*Compare!$B$4/12)</f>
        <v>22.2602584973078</v>
      </c>
      <c r="D94" s="15" t="n">
        <f aca="false">IF(B93&lt;=0.005,0,MIN(B93+C94,MAX(Compare!$B$7,B93*Compare!$B$5+IF(Compare!$B$6="Yes",C94,0))))</f>
        <v>34.4022176776575</v>
      </c>
      <c r="E94" s="15" t="n">
        <f aca="false">MAX(0,E93+F94-G94)</f>
        <v>0</v>
      </c>
      <c r="F94" s="15" t="n">
        <f aca="false">IF(E93&lt;=0.005,0,E93*Compare!$B$4/12)</f>
        <v>0</v>
      </c>
      <c r="G94" s="15" t="n">
        <f aca="false">IF(E93&lt;=0.005,0,MIN(E93+F94,Compare!$B$9))</f>
        <v>0</v>
      </c>
      <c r="H94" s="15" t="n">
        <f aca="false">MAX(0,H93+I94-J94)</f>
        <v>0</v>
      </c>
      <c r="I94" s="15" t="n">
        <f aca="false">IF(H93&lt;=0.005,0,H93*Compare!$B$4/12)</f>
        <v>0</v>
      </c>
      <c r="J94" s="15" t="n">
        <f aca="false">IF(H93&lt;=0.005,0,MIN(H93+I94,Compare!$B$9+Compare!$B$8))</f>
        <v>0</v>
      </c>
    </row>
    <row r="95" customFormat="false" ht="15" hidden="false" customHeight="false" outlineLevel="0" collapsed="false">
      <c r="A95" s="3" t="n">
        <v>92</v>
      </c>
      <c r="B95" s="15" t="n">
        <f aca="false">MAX(0,B94+C95-D95)</f>
        <v>1190.03341926608</v>
      </c>
      <c r="C95" s="15" t="n">
        <f aca="false">IF(B94&lt;=0.005,0,B94*Compare!$B$4/12)</f>
        <v>22.0376559123347</v>
      </c>
      <c r="D95" s="15" t="n">
        <f aca="false">IF(B94&lt;=0.005,0,MIN(B94+C95,MAX(Compare!$B$7,B94*Compare!$B$5+IF(Compare!$B$6="Yes",C95,0))))</f>
        <v>34.058195500881</v>
      </c>
      <c r="E95" s="15" t="n">
        <f aca="false">MAX(0,E94+F95-G95)</f>
        <v>0</v>
      </c>
      <c r="F95" s="15" t="n">
        <f aca="false">IF(E94&lt;=0.005,0,E94*Compare!$B$4/12)</f>
        <v>0</v>
      </c>
      <c r="G95" s="15" t="n">
        <f aca="false">IF(E94&lt;=0.005,0,MIN(E94+F95,Compare!$B$9))</f>
        <v>0</v>
      </c>
      <c r="H95" s="15" t="n">
        <f aca="false">MAX(0,H94+I95-J95)</f>
        <v>0</v>
      </c>
      <c r="I95" s="15" t="n">
        <f aca="false">IF(H94&lt;=0.005,0,H94*Compare!$B$4/12)</f>
        <v>0</v>
      </c>
      <c r="J95" s="15" t="n">
        <f aca="false">IF(H94&lt;=0.005,0,MIN(H94+I95,Compare!$B$9+Compare!$B$8))</f>
        <v>0</v>
      </c>
    </row>
    <row r="96" customFormat="false" ht="15" hidden="false" customHeight="false" outlineLevel="0" collapsed="false">
      <c r="A96" s="3" t="n">
        <v>93</v>
      </c>
      <c r="B96" s="15" t="n">
        <f aca="false">MAX(0,B95+C96-D96)</f>
        <v>1178.13308507342</v>
      </c>
      <c r="C96" s="15" t="n">
        <f aca="false">IF(B95&lt;=0.005,0,B95*Compare!$B$4/12)</f>
        <v>21.8172793532114</v>
      </c>
      <c r="D96" s="15" t="n">
        <f aca="false">IF(B95&lt;=0.005,0,MIN(B95+C96,MAX(Compare!$B$7,B95*Compare!$B$5+IF(Compare!$B$6="Yes",C96,0))))</f>
        <v>33.7176135458722</v>
      </c>
      <c r="E96" s="15" t="n">
        <f aca="false">MAX(0,E95+F96-G96)</f>
        <v>0</v>
      </c>
      <c r="F96" s="15" t="n">
        <f aca="false">IF(E95&lt;=0.005,0,E95*Compare!$B$4/12)</f>
        <v>0</v>
      </c>
      <c r="G96" s="15" t="n">
        <f aca="false">IF(E95&lt;=0.005,0,MIN(E95+F96,Compare!$B$9))</f>
        <v>0</v>
      </c>
      <c r="H96" s="15" t="n">
        <f aca="false">MAX(0,H95+I96-J96)</f>
        <v>0</v>
      </c>
      <c r="I96" s="15" t="n">
        <f aca="false">IF(H95&lt;=0.005,0,H95*Compare!$B$4/12)</f>
        <v>0</v>
      </c>
      <c r="J96" s="15" t="n">
        <f aca="false">IF(H95&lt;=0.005,0,MIN(H95+I96,Compare!$B$9+Compare!$B$8))</f>
        <v>0</v>
      </c>
    </row>
    <row r="97" customFormat="false" ht="15" hidden="false" customHeight="false" outlineLevel="0" collapsed="false">
      <c r="A97" s="3" t="n">
        <v>94</v>
      </c>
      <c r="B97" s="15" t="n">
        <f aca="false">MAX(0,B96+C97-D97)</f>
        <v>1166.35175422268</v>
      </c>
      <c r="C97" s="15" t="n">
        <f aca="false">IF(B96&lt;=0.005,0,B96*Compare!$B$4/12)</f>
        <v>21.5991065596793</v>
      </c>
      <c r="D97" s="15" t="n">
        <f aca="false">IF(B96&lt;=0.005,0,MIN(B96+C97,MAX(Compare!$B$7,B96*Compare!$B$5+IF(Compare!$B$6="Yes",C97,0))))</f>
        <v>33.3804374104134</v>
      </c>
      <c r="E97" s="15" t="n">
        <f aca="false">MAX(0,E96+F97-G97)</f>
        <v>0</v>
      </c>
      <c r="F97" s="15" t="n">
        <f aca="false">IF(E96&lt;=0.005,0,E96*Compare!$B$4/12)</f>
        <v>0</v>
      </c>
      <c r="G97" s="15" t="n">
        <f aca="false">IF(E96&lt;=0.005,0,MIN(E96+F97,Compare!$B$9))</f>
        <v>0</v>
      </c>
      <c r="H97" s="15" t="n">
        <f aca="false">MAX(0,H96+I97-J97)</f>
        <v>0</v>
      </c>
      <c r="I97" s="15" t="n">
        <f aca="false">IF(H96&lt;=0.005,0,H96*Compare!$B$4/12)</f>
        <v>0</v>
      </c>
      <c r="J97" s="15" t="n">
        <f aca="false">IF(H96&lt;=0.005,0,MIN(H96+I97,Compare!$B$9+Compare!$B$8))</f>
        <v>0</v>
      </c>
    </row>
    <row r="98" customFormat="false" ht="15" hidden="false" customHeight="false" outlineLevel="0" collapsed="false">
      <c r="A98" s="3" t="n">
        <v>95</v>
      </c>
      <c r="B98" s="15" t="n">
        <f aca="false">MAX(0,B97+C98-D98)</f>
        <v>1154.68823668045</v>
      </c>
      <c r="C98" s="15" t="n">
        <f aca="false">IF(B97&lt;=0.005,0,B97*Compare!$B$4/12)</f>
        <v>21.3831154940825</v>
      </c>
      <c r="D98" s="15" t="n">
        <f aca="false">IF(B97&lt;=0.005,0,MIN(B97+C98,MAX(Compare!$B$7,B97*Compare!$B$5+IF(Compare!$B$6="Yes",C98,0))))</f>
        <v>33.0466330363093</v>
      </c>
      <c r="E98" s="15" t="n">
        <f aca="false">MAX(0,E97+F98-G98)</f>
        <v>0</v>
      </c>
      <c r="F98" s="15" t="n">
        <f aca="false">IF(E97&lt;=0.005,0,E97*Compare!$B$4/12)</f>
        <v>0</v>
      </c>
      <c r="G98" s="15" t="n">
        <f aca="false">IF(E97&lt;=0.005,0,MIN(E97+F98,Compare!$B$9))</f>
        <v>0</v>
      </c>
      <c r="H98" s="15" t="n">
        <f aca="false">MAX(0,H97+I98-J98)</f>
        <v>0</v>
      </c>
      <c r="I98" s="15" t="n">
        <f aca="false">IF(H97&lt;=0.005,0,H97*Compare!$B$4/12)</f>
        <v>0</v>
      </c>
      <c r="J98" s="15" t="n">
        <f aca="false">IF(H97&lt;=0.005,0,MIN(H97+I98,Compare!$B$9+Compare!$B$8))</f>
        <v>0</v>
      </c>
    </row>
    <row r="99" customFormat="false" ht="15" hidden="false" customHeight="false" outlineLevel="0" collapsed="false">
      <c r="A99" s="3" t="n">
        <v>96</v>
      </c>
      <c r="B99" s="15" t="n">
        <f aca="false">MAX(0,B98+C99-D99)</f>
        <v>1143.14135431365</v>
      </c>
      <c r="C99" s="15" t="n">
        <f aca="false">IF(B98&lt;=0.005,0,B98*Compare!$B$4/12)</f>
        <v>21.1692843391417</v>
      </c>
      <c r="D99" s="15" t="n">
        <f aca="false">IF(B98&lt;=0.005,0,MIN(B98+C99,MAX(Compare!$B$7,B98*Compare!$B$5+IF(Compare!$B$6="Yes",C99,0))))</f>
        <v>32.7161667059462</v>
      </c>
      <c r="E99" s="15" t="n">
        <f aca="false">MAX(0,E98+F99-G99)</f>
        <v>0</v>
      </c>
      <c r="F99" s="15" t="n">
        <f aca="false">IF(E98&lt;=0.005,0,E98*Compare!$B$4/12)</f>
        <v>0</v>
      </c>
      <c r="G99" s="15" t="n">
        <f aca="false">IF(E98&lt;=0.005,0,MIN(E98+F99,Compare!$B$9))</f>
        <v>0</v>
      </c>
      <c r="H99" s="15" t="n">
        <f aca="false">MAX(0,H98+I99-J99)</f>
        <v>0</v>
      </c>
      <c r="I99" s="15" t="n">
        <f aca="false">IF(H98&lt;=0.005,0,H98*Compare!$B$4/12)</f>
        <v>0</v>
      </c>
      <c r="J99" s="15" t="n">
        <f aca="false">IF(H98&lt;=0.005,0,MIN(H98+I99,Compare!$B$9+Compare!$B$8))</f>
        <v>0</v>
      </c>
    </row>
    <row r="100" customFormat="false" ht="15" hidden="false" customHeight="false" outlineLevel="0" collapsed="false">
      <c r="A100" s="3" t="n">
        <v>97</v>
      </c>
      <c r="B100" s="15" t="n">
        <f aca="false">MAX(0,B99+C100-D100)</f>
        <v>1131.70994077051</v>
      </c>
      <c r="C100" s="15" t="n">
        <f aca="false">IF(B99&lt;=0.005,0,B99*Compare!$B$4/12)</f>
        <v>20.9575914957502</v>
      </c>
      <c r="D100" s="15" t="n">
        <f aca="false">IF(B99&lt;=0.005,0,MIN(B99+C100,MAX(Compare!$B$7,B99*Compare!$B$5+IF(Compare!$B$6="Yes",C100,0))))</f>
        <v>32.3890050388867</v>
      </c>
      <c r="E100" s="15" t="n">
        <f aca="false">MAX(0,E99+F100-G100)</f>
        <v>0</v>
      </c>
      <c r="F100" s="15" t="n">
        <f aca="false">IF(E99&lt;=0.005,0,E99*Compare!$B$4/12)</f>
        <v>0</v>
      </c>
      <c r="G100" s="15" t="n">
        <f aca="false">IF(E99&lt;=0.005,0,MIN(E99+F100,Compare!$B$9))</f>
        <v>0</v>
      </c>
      <c r="H100" s="15" t="n">
        <f aca="false">MAX(0,H99+I100-J100)</f>
        <v>0</v>
      </c>
      <c r="I100" s="15" t="n">
        <f aca="false">IF(H99&lt;=0.005,0,H99*Compare!$B$4/12)</f>
        <v>0</v>
      </c>
      <c r="J100" s="15" t="n">
        <f aca="false">IF(H99&lt;=0.005,0,MIN(H99+I100,Compare!$B$9+Compare!$B$8))</f>
        <v>0</v>
      </c>
    </row>
    <row r="101" customFormat="false" ht="15" hidden="false" customHeight="false" outlineLevel="0" collapsed="false">
      <c r="A101" s="3" t="n">
        <v>98</v>
      </c>
      <c r="B101" s="15" t="n">
        <f aca="false">MAX(0,B100+C101-D101)</f>
        <v>1120.39284136281</v>
      </c>
      <c r="C101" s="15" t="n">
        <f aca="false">IF(B100&lt;=0.005,0,B100*Compare!$B$4/12)</f>
        <v>20.7480155807927</v>
      </c>
      <c r="D101" s="15" t="n">
        <f aca="false">IF(B100&lt;=0.005,0,MIN(B100+C101,MAX(Compare!$B$7,B100*Compare!$B$5+IF(Compare!$B$6="Yes",C101,0))))</f>
        <v>32.0651149884979</v>
      </c>
      <c r="E101" s="15" t="n">
        <f aca="false">MAX(0,E100+F101-G101)</f>
        <v>0</v>
      </c>
      <c r="F101" s="15" t="n">
        <f aca="false">IF(E100&lt;=0.005,0,E100*Compare!$B$4/12)</f>
        <v>0</v>
      </c>
      <c r="G101" s="15" t="n">
        <f aca="false">IF(E100&lt;=0.005,0,MIN(E100+F101,Compare!$B$9))</f>
        <v>0</v>
      </c>
      <c r="H101" s="15" t="n">
        <f aca="false">MAX(0,H100+I101-J101)</f>
        <v>0</v>
      </c>
      <c r="I101" s="15" t="n">
        <f aca="false">IF(H100&lt;=0.005,0,H100*Compare!$B$4/12)</f>
        <v>0</v>
      </c>
      <c r="J101" s="15" t="n">
        <f aca="false">IF(H100&lt;=0.005,0,MIN(H100+I101,Compare!$B$9+Compare!$B$8))</f>
        <v>0</v>
      </c>
    </row>
    <row r="102" customFormat="false" ht="15" hidden="false" customHeight="false" outlineLevel="0" collapsed="false">
      <c r="A102" s="3" t="n">
        <v>99</v>
      </c>
      <c r="B102" s="15" t="n">
        <f aca="false">MAX(0,B101+C102-D102)</f>
        <v>1109.18891294918</v>
      </c>
      <c r="C102" s="15" t="n">
        <f aca="false">IF(B101&lt;=0.005,0,B101*Compare!$B$4/12)</f>
        <v>20.5405354249848</v>
      </c>
      <c r="D102" s="15" t="n">
        <f aca="false">IF(B101&lt;=0.005,0,MIN(B101+C102,MAX(Compare!$B$7,B101*Compare!$B$5+IF(Compare!$B$6="Yes",C102,0))))</f>
        <v>31.7444638386129</v>
      </c>
      <c r="E102" s="15" t="n">
        <f aca="false">MAX(0,E101+F102-G102)</f>
        <v>0</v>
      </c>
      <c r="F102" s="15" t="n">
        <f aca="false">IF(E101&lt;=0.005,0,E101*Compare!$B$4/12)</f>
        <v>0</v>
      </c>
      <c r="G102" s="15" t="n">
        <f aca="false">IF(E101&lt;=0.005,0,MIN(E101+F102,Compare!$B$9))</f>
        <v>0</v>
      </c>
      <c r="H102" s="15" t="n">
        <f aca="false">MAX(0,H101+I102-J102)</f>
        <v>0</v>
      </c>
      <c r="I102" s="15" t="n">
        <f aca="false">IF(H101&lt;=0.005,0,H101*Compare!$B$4/12)</f>
        <v>0</v>
      </c>
      <c r="J102" s="15" t="n">
        <f aca="false">IF(H101&lt;=0.005,0,MIN(H101+I102,Compare!$B$9+Compare!$B$8))</f>
        <v>0</v>
      </c>
    </row>
    <row r="103" customFormat="false" ht="15" hidden="false" customHeight="false" outlineLevel="0" collapsed="false">
      <c r="A103" s="3" t="n">
        <v>100</v>
      </c>
      <c r="B103" s="15" t="n">
        <f aca="false">MAX(0,B102+C103-D103)</f>
        <v>1098.09702381969</v>
      </c>
      <c r="C103" s="15" t="n">
        <f aca="false">IF(B102&lt;=0.005,0,B102*Compare!$B$4/12)</f>
        <v>20.335130070735</v>
      </c>
      <c r="D103" s="15" t="n">
        <f aca="false">IF(B102&lt;=0.005,0,MIN(B102+C103,MAX(Compare!$B$7,B102*Compare!$B$5+IF(Compare!$B$6="Yes",C103,0))))</f>
        <v>31.4270192002268</v>
      </c>
      <c r="E103" s="15" t="n">
        <f aca="false">MAX(0,E102+F103-G103)</f>
        <v>0</v>
      </c>
      <c r="F103" s="15" t="n">
        <f aca="false">IF(E102&lt;=0.005,0,E102*Compare!$B$4/12)</f>
        <v>0</v>
      </c>
      <c r="G103" s="15" t="n">
        <f aca="false">IF(E102&lt;=0.005,0,MIN(E102+F103,Compare!$B$9))</f>
        <v>0</v>
      </c>
      <c r="H103" s="15" t="n">
        <f aca="false">MAX(0,H102+I103-J103)</f>
        <v>0</v>
      </c>
      <c r="I103" s="15" t="n">
        <f aca="false">IF(H102&lt;=0.005,0,H102*Compare!$B$4/12)</f>
        <v>0</v>
      </c>
      <c r="J103" s="15" t="n">
        <f aca="false">IF(H102&lt;=0.005,0,MIN(H102+I103,Compare!$B$9+Compare!$B$8))</f>
        <v>0</v>
      </c>
    </row>
    <row r="104" customFormat="false" ht="15" hidden="false" customHeight="false" outlineLevel="0" collapsed="false">
      <c r="A104" s="3" t="n">
        <v>101</v>
      </c>
      <c r="B104" s="15" t="n">
        <f aca="false">MAX(0,B103+C104-D104)</f>
        <v>1087.11605358149</v>
      </c>
      <c r="C104" s="15" t="n">
        <f aca="false">IF(B103&lt;=0.005,0,B103*Compare!$B$4/12)</f>
        <v>20.1317787700276</v>
      </c>
      <c r="D104" s="15" t="n">
        <f aca="false">IF(B103&lt;=0.005,0,MIN(B103+C104,MAX(Compare!$B$7,B103*Compare!$B$5+IF(Compare!$B$6="Yes",C104,0))))</f>
        <v>31.1127490082245</v>
      </c>
      <c r="E104" s="15" t="n">
        <f aca="false">MAX(0,E103+F104-G104)</f>
        <v>0</v>
      </c>
      <c r="F104" s="15" t="n">
        <f aca="false">IF(E103&lt;=0.005,0,E103*Compare!$B$4/12)</f>
        <v>0</v>
      </c>
      <c r="G104" s="15" t="n">
        <f aca="false">IF(E103&lt;=0.005,0,MIN(E103+F104,Compare!$B$9))</f>
        <v>0</v>
      </c>
      <c r="H104" s="15" t="n">
        <f aca="false">MAX(0,H103+I104-J104)</f>
        <v>0</v>
      </c>
      <c r="I104" s="15" t="n">
        <f aca="false">IF(H103&lt;=0.005,0,H103*Compare!$B$4/12)</f>
        <v>0</v>
      </c>
      <c r="J104" s="15" t="n">
        <f aca="false">IF(H103&lt;=0.005,0,MIN(H103+I104,Compare!$B$9+Compare!$B$8))</f>
        <v>0</v>
      </c>
    </row>
    <row r="105" customFormat="false" ht="15" hidden="false" customHeight="false" outlineLevel="0" collapsed="false">
      <c r="A105" s="3" t="n">
        <v>102</v>
      </c>
      <c r="B105" s="15" t="n">
        <f aca="false">MAX(0,B104+C105-D105)</f>
        <v>1076.24489304568</v>
      </c>
      <c r="C105" s="15" t="n">
        <f aca="false">IF(B104&lt;=0.005,0,B104*Compare!$B$4/12)</f>
        <v>19.9304609823273</v>
      </c>
      <c r="D105" s="15" t="n">
        <f aca="false">IF(B104&lt;=0.005,0,MIN(B104+C105,MAX(Compare!$B$7,B104*Compare!$B$5+IF(Compare!$B$6="Yes",C105,0))))</f>
        <v>30.8016215181423</v>
      </c>
      <c r="E105" s="15" t="n">
        <f aca="false">MAX(0,E104+F105-G105)</f>
        <v>0</v>
      </c>
      <c r="F105" s="15" t="n">
        <f aca="false">IF(E104&lt;=0.005,0,E104*Compare!$B$4/12)</f>
        <v>0</v>
      </c>
      <c r="G105" s="15" t="n">
        <f aca="false">IF(E104&lt;=0.005,0,MIN(E104+F105,Compare!$B$9))</f>
        <v>0</v>
      </c>
      <c r="H105" s="15" t="n">
        <f aca="false">MAX(0,H104+I105-J105)</f>
        <v>0</v>
      </c>
      <c r="I105" s="15" t="n">
        <f aca="false">IF(H104&lt;=0.005,0,H104*Compare!$B$4/12)</f>
        <v>0</v>
      </c>
      <c r="J105" s="15" t="n">
        <f aca="false">IF(H104&lt;=0.005,0,MIN(H104+I105,Compare!$B$9+Compare!$B$8))</f>
        <v>0</v>
      </c>
    </row>
    <row r="106" customFormat="false" ht="15" hidden="false" customHeight="false" outlineLevel="0" collapsed="false">
      <c r="A106" s="3" t="n">
        <v>103</v>
      </c>
      <c r="B106" s="15" t="n">
        <f aca="false">MAX(0,B105+C106-D106)</f>
        <v>1065.48244411522</v>
      </c>
      <c r="C106" s="15" t="n">
        <f aca="false">IF(B105&lt;=0.005,0,B105*Compare!$B$4/12)</f>
        <v>19.7311563725041</v>
      </c>
      <c r="D106" s="15" t="n">
        <f aca="false">IF(B105&lt;=0.005,0,MIN(B105+C106,MAX(Compare!$B$7,B105*Compare!$B$5+IF(Compare!$B$6="Yes",C106,0))))</f>
        <v>30.4936053029608</v>
      </c>
      <c r="E106" s="15" t="n">
        <f aca="false">MAX(0,E105+F106-G106)</f>
        <v>0</v>
      </c>
      <c r="F106" s="15" t="n">
        <f aca="false">IF(E105&lt;=0.005,0,E105*Compare!$B$4/12)</f>
        <v>0</v>
      </c>
      <c r="G106" s="15" t="n">
        <f aca="false">IF(E105&lt;=0.005,0,MIN(E105+F106,Compare!$B$9))</f>
        <v>0</v>
      </c>
      <c r="H106" s="15" t="n">
        <f aca="false">MAX(0,H105+I106-J106)</f>
        <v>0</v>
      </c>
      <c r="I106" s="15" t="n">
        <f aca="false">IF(H105&lt;=0.005,0,H105*Compare!$B$4/12)</f>
        <v>0</v>
      </c>
      <c r="J106" s="15" t="n">
        <f aca="false">IF(H105&lt;=0.005,0,MIN(H105+I106,Compare!$B$9+Compare!$B$8))</f>
        <v>0</v>
      </c>
    </row>
    <row r="107" customFormat="false" ht="15" hidden="false" customHeight="false" outlineLevel="0" collapsed="false">
      <c r="A107" s="3" t="n">
        <v>104</v>
      </c>
      <c r="B107" s="15" t="n">
        <f aca="false">MAX(0,B106+C107-D107)</f>
        <v>1054.82761967407</v>
      </c>
      <c r="C107" s="15" t="n">
        <f aca="false">IF(B106&lt;=0.005,0,B106*Compare!$B$4/12)</f>
        <v>19.533844808779</v>
      </c>
      <c r="D107" s="15" t="n">
        <f aca="false">IF(B106&lt;=0.005,0,MIN(B106+C107,MAX(Compare!$B$7,B106*Compare!$B$5+IF(Compare!$B$6="Yes",C107,0))))</f>
        <v>30.1886692499312</v>
      </c>
      <c r="E107" s="15" t="n">
        <f aca="false">MAX(0,E106+F107-G107)</f>
        <v>0</v>
      </c>
      <c r="F107" s="15" t="n">
        <f aca="false">IF(E106&lt;=0.005,0,E106*Compare!$B$4/12)</f>
        <v>0</v>
      </c>
      <c r="G107" s="15" t="n">
        <f aca="false">IF(E106&lt;=0.005,0,MIN(E106+F107,Compare!$B$9))</f>
        <v>0</v>
      </c>
      <c r="H107" s="15" t="n">
        <f aca="false">MAX(0,H106+I107-J107)</f>
        <v>0</v>
      </c>
      <c r="I107" s="15" t="n">
        <f aca="false">IF(H106&lt;=0.005,0,H106*Compare!$B$4/12)</f>
        <v>0</v>
      </c>
      <c r="J107" s="15" t="n">
        <f aca="false">IF(H106&lt;=0.005,0,MIN(H106+I107,Compare!$B$9+Compare!$B$8))</f>
        <v>0</v>
      </c>
    </row>
    <row r="108" customFormat="false" ht="15" hidden="false" customHeight="false" outlineLevel="0" collapsed="false">
      <c r="A108" s="3" t="n">
        <v>105</v>
      </c>
      <c r="B108" s="15" t="n">
        <f aca="false">MAX(0,B107+C108-D108)</f>
        <v>1044.27934347733</v>
      </c>
      <c r="C108" s="15" t="n">
        <f aca="false">IF(B107&lt;=0.005,0,B107*Compare!$B$4/12)</f>
        <v>19.3385063606912</v>
      </c>
      <c r="D108" s="15" t="n">
        <f aca="false">IF(B107&lt;=0.005,0,MIN(B107+C108,MAX(Compare!$B$7,B107*Compare!$B$5+IF(Compare!$B$6="Yes",C108,0))))</f>
        <v>29.8867825574319</v>
      </c>
      <c r="E108" s="15" t="n">
        <f aca="false">MAX(0,E107+F108-G108)</f>
        <v>0</v>
      </c>
      <c r="F108" s="15" t="n">
        <f aca="false">IF(E107&lt;=0.005,0,E107*Compare!$B$4/12)</f>
        <v>0</v>
      </c>
      <c r="G108" s="15" t="n">
        <f aca="false">IF(E107&lt;=0.005,0,MIN(E107+F108,Compare!$B$9))</f>
        <v>0</v>
      </c>
      <c r="H108" s="15" t="n">
        <f aca="false">MAX(0,H107+I108-J108)</f>
        <v>0</v>
      </c>
      <c r="I108" s="15" t="n">
        <f aca="false">IF(H107&lt;=0.005,0,H107*Compare!$B$4/12)</f>
        <v>0</v>
      </c>
      <c r="J108" s="15" t="n">
        <f aca="false">IF(H107&lt;=0.005,0,MIN(H107+I108,Compare!$B$9+Compare!$B$8))</f>
        <v>0</v>
      </c>
    </row>
    <row r="109" customFormat="false" ht="15" hidden="false" customHeight="false" outlineLevel="0" collapsed="false">
      <c r="A109" s="3" t="n">
        <v>106</v>
      </c>
      <c r="B109" s="15" t="n">
        <f aca="false">MAX(0,B108+C109-D109)</f>
        <v>1033.83655004255</v>
      </c>
      <c r="C109" s="15" t="n">
        <f aca="false">IF(B108&lt;=0.005,0,B108*Compare!$B$4/12)</f>
        <v>19.1451212970843</v>
      </c>
      <c r="D109" s="15" t="n">
        <f aca="false">IF(B108&lt;=0.005,0,MIN(B108+C109,MAX(Compare!$B$7,B108*Compare!$B$5+IF(Compare!$B$6="Yes",C109,0))))</f>
        <v>29.5879147318576</v>
      </c>
      <c r="E109" s="15" t="n">
        <f aca="false">MAX(0,E108+F109-G109)</f>
        <v>0</v>
      </c>
      <c r="F109" s="15" t="n">
        <f aca="false">IF(E108&lt;=0.005,0,E108*Compare!$B$4/12)</f>
        <v>0</v>
      </c>
      <c r="G109" s="15" t="n">
        <f aca="false">IF(E108&lt;=0.005,0,MIN(E108+F109,Compare!$B$9))</f>
        <v>0</v>
      </c>
      <c r="H109" s="15" t="n">
        <f aca="false">MAX(0,H108+I109-J109)</f>
        <v>0</v>
      </c>
      <c r="I109" s="15" t="n">
        <f aca="false">IF(H108&lt;=0.005,0,H108*Compare!$B$4/12)</f>
        <v>0</v>
      </c>
      <c r="J109" s="15" t="n">
        <f aca="false">IF(H108&lt;=0.005,0,MIN(H108+I109,Compare!$B$9+Compare!$B$8))</f>
        <v>0</v>
      </c>
    </row>
    <row r="110" customFormat="false" ht="15" hidden="false" customHeight="false" outlineLevel="0" collapsed="false">
      <c r="A110" s="3" t="n">
        <v>107</v>
      </c>
      <c r="B110" s="15" t="n">
        <f aca="false">MAX(0,B109+C110-D110)</f>
        <v>1023.49818454213</v>
      </c>
      <c r="C110" s="15" t="n">
        <f aca="false">IF(B109&lt;=0.005,0,B109*Compare!$B$4/12)</f>
        <v>18.9536700841135</v>
      </c>
      <c r="D110" s="15" t="n">
        <f aca="false">IF(B109&lt;=0.005,0,MIN(B109+C110,MAX(Compare!$B$7,B109*Compare!$B$5+IF(Compare!$B$6="Yes",C110,0))))</f>
        <v>29.292035584539</v>
      </c>
      <c r="E110" s="15" t="n">
        <f aca="false">MAX(0,E109+F110-G110)</f>
        <v>0</v>
      </c>
      <c r="F110" s="15" t="n">
        <f aca="false">IF(E109&lt;=0.005,0,E109*Compare!$B$4/12)</f>
        <v>0</v>
      </c>
      <c r="G110" s="15" t="n">
        <f aca="false">IF(E109&lt;=0.005,0,MIN(E109+F110,Compare!$B$9))</f>
        <v>0</v>
      </c>
      <c r="H110" s="15" t="n">
        <f aca="false">MAX(0,H109+I110-J110)</f>
        <v>0</v>
      </c>
      <c r="I110" s="15" t="n">
        <f aca="false">IF(H109&lt;=0.005,0,H109*Compare!$B$4/12)</f>
        <v>0</v>
      </c>
      <c r="J110" s="15" t="n">
        <f aca="false">IF(H109&lt;=0.005,0,MIN(H109+I110,Compare!$B$9+Compare!$B$8))</f>
        <v>0</v>
      </c>
    </row>
    <row r="111" customFormat="false" ht="15" hidden="false" customHeight="false" outlineLevel="0" collapsed="false">
      <c r="A111" s="3" t="n">
        <v>108</v>
      </c>
      <c r="B111" s="15" t="n">
        <f aca="false">MAX(0,B110+C111-D111)</f>
        <v>1013.26320269671</v>
      </c>
      <c r="C111" s="15" t="n">
        <f aca="false">IF(B110&lt;=0.005,0,B110*Compare!$B$4/12)</f>
        <v>18.7641333832724</v>
      </c>
      <c r="D111" s="15" t="n">
        <f aca="false">IF(B110&lt;=0.005,0,MIN(B110+C111,MAX(Compare!$B$7,B110*Compare!$B$5+IF(Compare!$B$6="Yes",C111,0))))</f>
        <v>28.9991152286936</v>
      </c>
      <c r="E111" s="15" t="n">
        <f aca="false">MAX(0,E110+F111-G111)</f>
        <v>0</v>
      </c>
      <c r="F111" s="15" t="n">
        <f aca="false">IF(E110&lt;=0.005,0,E110*Compare!$B$4/12)</f>
        <v>0</v>
      </c>
      <c r="G111" s="15" t="n">
        <f aca="false">IF(E110&lt;=0.005,0,MIN(E110+F111,Compare!$B$9))</f>
        <v>0</v>
      </c>
      <c r="H111" s="15" t="n">
        <f aca="false">MAX(0,H110+I111-J111)</f>
        <v>0</v>
      </c>
      <c r="I111" s="15" t="n">
        <f aca="false">IF(H110&lt;=0.005,0,H110*Compare!$B$4/12)</f>
        <v>0</v>
      </c>
      <c r="J111" s="15" t="n">
        <f aca="false">IF(H110&lt;=0.005,0,MIN(H110+I111,Compare!$B$9+Compare!$B$8))</f>
        <v>0</v>
      </c>
    </row>
    <row r="112" customFormat="false" ht="15" hidden="false" customHeight="false" outlineLevel="0" collapsed="false">
      <c r="A112" s="3" t="n">
        <v>109</v>
      </c>
      <c r="B112" s="15" t="n">
        <f aca="false">MAX(0,B111+C112-D112)</f>
        <v>1003.13057066974</v>
      </c>
      <c r="C112" s="15" t="n">
        <f aca="false">IF(B111&lt;=0.005,0,B111*Compare!$B$4/12)</f>
        <v>18.5764920494396</v>
      </c>
      <c r="D112" s="15" t="n">
        <f aca="false">IF(B111&lt;=0.005,0,MIN(B111+C112,MAX(Compare!$B$7,B111*Compare!$B$5+IF(Compare!$B$6="Yes",C112,0))))</f>
        <v>28.7091240764067</v>
      </c>
      <c r="E112" s="15" t="n">
        <f aca="false">MAX(0,E111+F112-G112)</f>
        <v>0</v>
      </c>
      <c r="F112" s="15" t="n">
        <f aca="false">IF(E111&lt;=0.005,0,E111*Compare!$B$4/12)</f>
        <v>0</v>
      </c>
      <c r="G112" s="15" t="n">
        <f aca="false">IF(E111&lt;=0.005,0,MIN(E111+F112,Compare!$B$9))</f>
        <v>0</v>
      </c>
      <c r="H112" s="15" t="n">
        <f aca="false">MAX(0,H111+I112-J112)</f>
        <v>0</v>
      </c>
      <c r="I112" s="15" t="n">
        <f aca="false">IF(H111&lt;=0.005,0,H111*Compare!$B$4/12)</f>
        <v>0</v>
      </c>
      <c r="J112" s="15" t="n">
        <f aca="false">IF(H111&lt;=0.005,0,MIN(H111+I112,Compare!$B$9+Compare!$B$8))</f>
        <v>0</v>
      </c>
    </row>
    <row r="113" customFormat="false" ht="15" hidden="false" customHeight="false" outlineLevel="0" collapsed="false">
      <c r="A113" s="3" t="n">
        <v>110</v>
      </c>
      <c r="B113" s="15" t="n">
        <f aca="false">MAX(0,B112+C113-D113)</f>
        <v>993.099264963043</v>
      </c>
      <c r="C113" s="15" t="n">
        <f aca="false">IF(B112&lt;=0.005,0,B112*Compare!$B$4/12)</f>
        <v>18.3907271289452</v>
      </c>
      <c r="D113" s="15" t="n">
        <f aca="false">IF(B112&lt;=0.005,0,MIN(B112+C113,MAX(Compare!$B$7,B112*Compare!$B$5+IF(Compare!$B$6="Yes",C113,0))))</f>
        <v>28.4220328356426</v>
      </c>
      <c r="E113" s="15" t="n">
        <f aca="false">MAX(0,E112+F113-G113)</f>
        <v>0</v>
      </c>
      <c r="F113" s="15" t="n">
        <f aca="false">IF(E112&lt;=0.005,0,E112*Compare!$B$4/12)</f>
        <v>0</v>
      </c>
      <c r="G113" s="15" t="n">
        <f aca="false">IF(E112&lt;=0.005,0,MIN(E112+F113,Compare!$B$9))</f>
        <v>0</v>
      </c>
      <c r="H113" s="15" t="n">
        <f aca="false">MAX(0,H112+I113-J113)</f>
        <v>0</v>
      </c>
      <c r="I113" s="15" t="n">
        <f aca="false">IF(H112&lt;=0.005,0,H112*Compare!$B$4/12)</f>
        <v>0</v>
      </c>
      <c r="J113" s="15" t="n">
        <f aca="false">IF(H112&lt;=0.005,0,MIN(H112+I113,Compare!$B$9+Compare!$B$8))</f>
        <v>0</v>
      </c>
    </row>
    <row r="114" customFormat="false" ht="15" hidden="false" customHeight="false" outlineLevel="0" collapsed="false">
      <c r="A114" s="3" t="n">
        <v>111</v>
      </c>
      <c r="B114" s="15" t="n">
        <f aca="false">MAX(0,B113+C114-D114)</f>
        <v>983.168272313412</v>
      </c>
      <c r="C114" s="15" t="n">
        <f aca="false">IF(B113&lt;=0.005,0,B113*Compare!$B$4/12)</f>
        <v>18.2068198576558</v>
      </c>
      <c r="D114" s="15" t="n">
        <f aca="false">IF(B113&lt;=0.005,0,MIN(B113+C114,MAX(Compare!$B$7,B113*Compare!$B$5+IF(Compare!$B$6="Yes",C114,0))))</f>
        <v>28.1378125072862</v>
      </c>
      <c r="E114" s="15" t="n">
        <f aca="false">MAX(0,E113+F114-G114)</f>
        <v>0</v>
      </c>
      <c r="F114" s="15" t="n">
        <f aca="false">IF(E113&lt;=0.005,0,E113*Compare!$B$4/12)</f>
        <v>0</v>
      </c>
      <c r="G114" s="15" t="n">
        <f aca="false">IF(E113&lt;=0.005,0,MIN(E113+F114,Compare!$B$9))</f>
        <v>0</v>
      </c>
      <c r="H114" s="15" t="n">
        <f aca="false">MAX(0,H113+I114-J114)</f>
        <v>0</v>
      </c>
      <c r="I114" s="15" t="n">
        <f aca="false">IF(H113&lt;=0.005,0,H113*Compare!$B$4/12)</f>
        <v>0</v>
      </c>
      <c r="J114" s="15" t="n">
        <f aca="false">IF(H113&lt;=0.005,0,MIN(H113+I114,Compare!$B$9+Compare!$B$8))</f>
        <v>0</v>
      </c>
    </row>
    <row r="115" customFormat="false" ht="15" hidden="false" customHeight="false" outlineLevel="0" collapsed="false">
      <c r="A115" s="3" t="n">
        <v>112</v>
      </c>
      <c r="B115" s="15" t="n">
        <f aca="false">MAX(0,B114+C115-D115)</f>
        <v>973.336589590278</v>
      </c>
      <c r="C115" s="15" t="n">
        <f aca="false">IF(B114&lt;=0.005,0,B114*Compare!$B$4/12)</f>
        <v>18.0247516590792</v>
      </c>
      <c r="D115" s="15" t="n">
        <f aca="false">IF(B114&lt;=0.005,0,MIN(B114+C115,MAX(Compare!$B$7,B114*Compare!$B$5+IF(Compare!$B$6="Yes",C115,0))))</f>
        <v>27.8564343822133</v>
      </c>
      <c r="E115" s="15" t="n">
        <f aca="false">MAX(0,E114+F115-G115)</f>
        <v>0</v>
      </c>
      <c r="F115" s="15" t="n">
        <f aca="false">IF(E114&lt;=0.005,0,E114*Compare!$B$4/12)</f>
        <v>0</v>
      </c>
      <c r="G115" s="15" t="n">
        <f aca="false">IF(E114&lt;=0.005,0,MIN(E114+F115,Compare!$B$9))</f>
        <v>0</v>
      </c>
      <c r="H115" s="15" t="n">
        <f aca="false">MAX(0,H114+I115-J115)</f>
        <v>0</v>
      </c>
      <c r="I115" s="15" t="n">
        <f aca="false">IF(H114&lt;=0.005,0,H114*Compare!$B$4/12)</f>
        <v>0</v>
      </c>
      <c r="J115" s="15" t="n">
        <f aca="false">IF(H114&lt;=0.005,0,MIN(H114+I115,Compare!$B$9+Compare!$B$8))</f>
        <v>0</v>
      </c>
    </row>
    <row r="116" customFormat="false" ht="15" hidden="false" customHeight="false" outlineLevel="0" collapsed="false">
      <c r="A116" s="3" t="n">
        <v>113</v>
      </c>
      <c r="B116" s="15" t="n">
        <f aca="false">MAX(0,B115+C116-D116)</f>
        <v>963.603223694375</v>
      </c>
      <c r="C116" s="15" t="n">
        <f aca="false">IF(B115&lt;=0.005,0,B115*Compare!$B$4/12)</f>
        <v>17.8445041424884</v>
      </c>
      <c r="D116" s="15" t="n">
        <f aca="false">IF(B115&lt;=0.005,0,MIN(B115+C116,MAX(Compare!$B$7,B115*Compare!$B$5+IF(Compare!$B$6="Yes",C116,0))))</f>
        <v>27.5778700383912</v>
      </c>
      <c r="E116" s="15" t="n">
        <f aca="false">MAX(0,E115+F116-G116)</f>
        <v>0</v>
      </c>
      <c r="F116" s="15" t="n">
        <f aca="false">IF(E115&lt;=0.005,0,E115*Compare!$B$4/12)</f>
        <v>0</v>
      </c>
      <c r="G116" s="15" t="n">
        <f aca="false">IF(E115&lt;=0.005,0,MIN(E115+F116,Compare!$B$9))</f>
        <v>0</v>
      </c>
      <c r="H116" s="15" t="n">
        <f aca="false">MAX(0,H115+I116-J116)</f>
        <v>0</v>
      </c>
      <c r="I116" s="15" t="n">
        <f aca="false">IF(H115&lt;=0.005,0,H115*Compare!$B$4/12)</f>
        <v>0</v>
      </c>
      <c r="J116" s="15" t="n">
        <f aca="false">IF(H115&lt;=0.005,0,MIN(H115+I116,Compare!$B$9+Compare!$B$8))</f>
        <v>0</v>
      </c>
    </row>
    <row r="117" customFormat="false" ht="15" hidden="false" customHeight="false" outlineLevel="0" collapsed="false">
      <c r="A117" s="3" t="n">
        <v>114</v>
      </c>
      <c r="B117" s="15" t="n">
        <f aca="false">MAX(0,B116+C117-D117)</f>
        <v>953.967191457432</v>
      </c>
      <c r="C117" s="15" t="n">
        <f aca="false">IF(B116&lt;=0.005,0,B116*Compare!$B$4/12)</f>
        <v>17.6660591010636</v>
      </c>
      <c r="D117" s="15" t="n">
        <f aca="false">IF(B116&lt;=0.005,0,MIN(B116+C117,MAX(Compare!$B$7,B116*Compare!$B$5+IF(Compare!$B$6="Yes",C117,0))))</f>
        <v>27.3020913380073</v>
      </c>
      <c r="E117" s="15" t="n">
        <f aca="false">MAX(0,E116+F117-G117)</f>
        <v>0</v>
      </c>
      <c r="F117" s="15" t="n">
        <f aca="false">IF(E116&lt;=0.005,0,E116*Compare!$B$4/12)</f>
        <v>0</v>
      </c>
      <c r="G117" s="15" t="n">
        <f aca="false">IF(E116&lt;=0.005,0,MIN(E116+F117,Compare!$B$9))</f>
        <v>0</v>
      </c>
      <c r="H117" s="15" t="n">
        <f aca="false">MAX(0,H116+I117-J117)</f>
        <v>0</v>
      </c>
      <c r="I117" s="15" t="n">
        <f aca="false">IF(H116&lt;=0.005,0,H116*Compare!$B$4/12)</f>
        <v>0</v>
      </c>
      <c r="J117" s="15" t="n">
        <f aca="false">IF(H116&lt;=0.005,0,MIN(H116+I117,Compare!$B$9+Compare!$B$8))</f>
        <v>0</v>
      </c>
    </row>
    <row r="118" customFormat="false" ht="15" hidden="false" customHeight="false" outlineLevel="0" collapsed="false">
      <c r="A118" s="3" t="n">
        <v>115</v>
      </c>
      <c r="B118" s="15" t="n">
        <f aca="false">MAX(0,B117+C118-D118)</f>
        <v>944.427519542857</v>
      </c>
      <c r="C118" s="15" t="n">
        <f aca="false">IF(B117&lt;=0.005,0,B117*Compare!$B$4/12)</f>
        <v>17.4893985100529</v>
      </c>
      <c r="D118" s="15" t="n">
        <f aca="false">IF(B117&lt;=0.005,0,MIN(B117+C118,MAX(Compare!$B$7,B117*Compare!$B$5+IF(Compare!$B$6="Yes",C118,0))))</f>
        <v>27.0290704246272</v>
      </c>
      <c r="E118" s="15" t="n">
        <f aca="false">MAX(0,E117+F118-G118)</f>
        <v>0</v>
      </c>
      <c r="F118" s="15" t="n">
        <f aca="false">IF(E117&lt;=0.005,0,E117*Compare!$B$4/12)</f>
        <v>0</v>
      </c>
      <c r="G118" s="15" t="n">
        <f aca="false">IF(E117&lt;=0.005,0,MIN(E117+F118,Compare!$B$9))</f>
        <v>0</v>
      </c>
      <c r="H118" s="15" t="n">
        <f aca="false">MAX(0,H117+I118-J118)</f>
        <v>0</v>
      </c>
      <c r="I118" s="15" t="n">
        <f aca="false">IF(H117&lt;=0.005,0,H117*Compare!$B$4/12)</f>
        <v>0</v>
      </c>
      <c r="J118" s="15" t="n">
        <f aca="false">IF(H117&lt;=0.005,0,MIN(H117+I118,Compare!$B$9+Compare!$B$8))</f>
        <v>0</v>
      </c>
    </row>
    <row r="119" customFormat="false" ht="15" hidden="false" customHeight="false" outlineLevel="0" collapsed="false">
      <c r="A119" s="3" t="n">
        <v>116</v>
      </c>
      <c r="B119" s="15" t="n">
        <f aca="false">MAX(0,B118+C119-D119)</f>
        <v>934.983244347429</v>
      </c>
      <c r="C119" s="15" t="n">
        <f aca="false">IF(B118&lt;=0.005,0,B118*Compare!$B$4/12)</f>
        <v>17.3145045249524</v>
      </c>
      <c r="D119" s="15" t="n">
        <f aca="false">IF(B118&lt;=0.005,0,MIN(B118+C119,MAX(Compare!$B$7,B118*Compare!$B$5+IF(Compare!$B$6="Yes",C119,0))))</f>
        <v>26.758779720381</v>
      </c>
      <c r="E119" s="15" t="n">
        <f aca="false">MAX(0,E118+F119-G119)</f>
        <v>0</v>
      </c>
      <c r="F119" s="15" t="n">
        <f aca="false">IF(E118&lt;=0.005,0,E118*Compare!$B$4/12)</f>
        <v>0</v>
      </c>
      <c r="G119" s="15" t="n">
        <f aca="false">IF(E118&lt;=0.005,0,MIN(E118+F119,Compare!$B$9))</f>
        <v>0</v>
      </c>
      <c r="H119" s="15" t="n">
        <f aca="false">MAX(0,H118+I119-J119)</f>
        <v>0</v>
      </c>
      <c r="I119" s="15" t="n">
        <f aca="false">IF(H118&lt;=0.005,0,H118*Compare!$B$4/12)</f>
        <v>0</v>
      </c>
      <c r="J119" s="15" t="n">
        <f aca="false">IF(H118&lt;=0.005,0,MIN(H118+I119,Compare!$B$9+Compare!$B$8))</f>
        <v>0</v>
      </c>
    </row>
    <row r="120" customFormat="false" ht="15" hidden="false" customHeight="false" outlineLevel="0" collapsed="false">
      <c r="A120" s="3" t="n">
        <v>117</v>
      </c>
      <c r="B120" s="15" t="n">
        <f aca="false">MAX(0,B119+C120-D120)</f>
        <v>925.633411903954</v>
      </c>
      <c r="C120" s="15" t="n">
        <f aca="false">IF(B119&lt;=0.005,0,B119*Compare!$B$4/12)</f>
        <v>17.1413594797029</v>
      </c>
      <c r="D120" s="15" t="n">
        <f aca="false">IF(B119&lt;=0.005,0,MIN(B119+C120,MAX(Compare!$B$7,B119*Compare!$B$5+IF(Compare!$B$6="Yes",C120,0))))</f>
        <v>26.4911919231771</v>
      </c>
      <c r="E120" s="15" t="n">
        <f aca="false">MAX(0,E119+F120-G120)</f>
        <v>0</v>
      </c>
      <c r="F120" s="15" t="n">
        <f aca="false">IF(E119&lt;=0.005,0,E119*Compare!$B$4/12)</f>
        <v>0</v>
      </c>
      <c r="G120" s="15" t="n">
        <f aca="false">IF(E119&lt;=0.005,0,MIN(E119+F120,Compare!$B$9))</f>
        <v>0</v>
      </c>
      <c r="H120" s="15" t="n">
        <f aca="false">MAX(0,H119+I120-J120)</f>
        <v>0</v>
      </c>
      <c r="I120" s="15" t="n">
        <f aca="false">IF(H119&lt;=0.005,0,H119*Compare!$B$4/12)</f>
        <v>0</v>
      </c>
      <c r="J120" s="15" t="n">
        <f aca="false">IF(H119&lt;=0.005,0,MIN(H119+I120,Compare!$B$9+Compare!$B$8))</f>
        <v>0</v>
      </c>
    </row>
    <row r="121" customFormat="false" ht="15" hidden="false" customHeight="false" outlineLevel="0" collapsed="false">
      <c r="A121" s="3" t="n">
        <v>118</v>
      </c>
      <c r="B121" s="15" t="n">
        <f aca="false">MAX(0,B120+C121-D121)</f>
        <v>916.377077784915</v>
      </c>
      <c r="C121" s="15" t="n">
        <f aca="false">IF(B120&lt;=0.005,0,B120*Compare!$B$4/12)</f>
        <v>16.9699458849058</v>
      </c>
      <c r="D121" s="15" t="n">
        <f aca="false">IF(B120&lt;=0.005,0,MIN(B120+C121,MAX(Compare!$B$7,B120*Compare!$B$5+IF(Compare!$B$6="Yes",C121,0))))</f>
        <v>26.2262800039454</v>
      </c>
      <c r="E121" s="15" t="n">
        <f aca="false">MAX(0,E120+F121-G121)</f>
        <v>0</v>
      </c>
      <c r="F121" s="15" t="n">
        <f aca="false">IF(E120&lt;=0.005,0,E120*Compare!$B$4/12)</f>
        <v>0</v>
      </c>
      <c r="G121" s="15" t="n">
        <f aca="false">IF(E120&lt;=0.005,0,MIN(E120+F121,Compare!$B$9))</f>
        <v>0</v>
      </c>
      <c r="H121" s="15" t="n">
        <f aca="false">MAX(0,H120+I121-J121)</f>
        <v>0</v>
      </c>
      <c r="I121" s="15" t="n">
        <f aca="false">IF(H120&lt;=0.005,0,H120*Compare!$B$4/12)</f>
        <v>0</v>
      </c>
      <c r="J121" s="15" t="n">
        <f aca="false">IF(H120&lt;=0.005,0,MIN(H120+I121,Compare!$B$9+Compare!$B$8))</f>
        <v>0</v>
      </c>
    </row>
    <row r="122" customFormat="false" ht="15" hidden="false" customHeight="false" outlineLevel="0" collapsed="false">
      <c r="A122" s="3" t="n">
        <v>119</v>
      </c>
      <c r="B122" s="15" t="n">
        <f aca="false">MAX(0,B121+C122-D122)</f>
        <v>907.213307007066</v>
      </c>
      <c r="C122" s="15" t="n">
        <f aca="false">IF(B121&lt;=0.005,0,B121*Compare!$B$4/12)</f>
        <v>16.8002464260568</v>
      </c>
      <c r="D122" s="15" t="n">
        <f aca="false">IF(B121&lt;=0.005,0,MIN(B121+C122,MAX(Compare!$B$7,B121*Compare!$B$5+IF(Compare!$B$6="Yes",C122,0))))</f>
        <v>25.9640172039059</v>
      </c>
      <c r="E122" s="15" t="n">
        <f aca="false">MAX(0,E121+F122-G122)</f>
        <v>0</v>
      </c>
      <c r="F122" s="15" t="n">
        <f aca="false">IF(E121&lt;=0.005,0,E121*Compare!$B$4/12)</f>
        <v>0</v>
      </c>
      <c r="G122" s="15" t="n">
        <f aca="false">IF(E121&lt;=0.005,0,MIN(E121+F122,Compare!$B$9))</f>
        <v>0</v>
      </c>
      <c r="H122" s="15" t="n">
        <f aca="false">MAX(0,H121+I122-J122)</f>
        <v>0</v>
      </c>
      <c r="I122" s="15" t="n">
        <f aca="false">IF(H121&lt;=0.005,0,H121*Compare!$B$4/12)</f>
        <v>0</v>
      </c>
      <c r="J122" s="15" t="n">
        <f aca="false">IF(H121&lt;=0.005,0,MIN(H121+I122,Compare!$B$9+Compare!$B$8))</f>
        <v>0</v>
      </c>
    </row>
    <row r="123" customFormat="false" ht="15" hidden="false" customHeight="false" outlineLevel="0" collapsed="false">
      <c r="A123" s="3" t="n">
        <v>120</v>
      </c>
      <c r="B123" s="15" t="n">
        <f aca="false">MAX(0,B122+C123-D123)</f>
        <v>898.141173936995</v>
      </c>
      <c r="C123" s="15" t="n">
        <f aca="false">IF(B122&lt;=0.005,0,B122*Compare!$B$4/12)</f>
        <v>16.6322439617962</v>
      </c>
      <c r="D123" s="15" t="n">
        <f aca="false">IF(B122&lt;=0.005,0,MIN(B122+C123,MAX(Compare!$B$7,B122*Compare!$B$5+IF(Compare!$B$6="Yes",C123,0))))</f>
        <v>25.7043770318669</v>
      </c>
      <c r="E123" s="15" t="n">
        <f aca="false">MAX(0,E122+F123-G123)</f>
        <v>0</v>
      </c>
      <c r="F123" s="15" t="n">
        <f aca="false">IF(E122&lt;=0.005,0,E122*Compare!$B$4/12)</f>
        <v>0</v>
      </c>
      <c r="G123" s="15" t="n">
        <f aca="false">IF(E122&lt;=0.005,0,MIN(E122+F123,Compare!$B$9))</f>
        <v>0</v>
      </c>
      <c r="H123" s="15" t="n">
        <f aca="false">MAX(0,H122+I123-J123)</f>
        <v>0</v>
      </c>
      <c r="I123" s="15" t="n">
        <f aca="false">IF(H122&lt;=0.005,0,H122*Compare!$B$4/12)</f>
        <v>0</v>
      </c>
      <c r="J123" s="15" t="n">
        <f aca="false">IF(H122&lt;=0.005,0,MIN(H122+I123,Compare!$B$9+Compare!$B$8))</f>
        <v>0</v>
      </c>
    </row>
    <row r="124" customFormat="false" ht="15" hidden="false" customHeight="false" outlineLevel="0" collapsed="false">
      <c r="A124" s="3" t="n">
        <v>121</v>
      </c>
      <c r="B124" s="15" t="n">
        <f aca="false">MAX(0,B123+C124-D124)</f>
        <v>889.159762197625</v>
      </c>
      <c r="C124" s="15" t="n">
        <f aca="false">IF(B123&lt;=0.005,0,B123*Compare!$B$4/12)</f>
        <v>16.4659215221782</v>
      </c>
      <c r="D124" s="15" t="n">
        <f aca="false">IF(B123&lt;=0.005,0,MIN(B123+C124,MAX(Compare!$B$7,B123*Compare!$B$5+IF(Compare!$B$6="Yes",C124,0))))</f>
        <v>25.4473332615482</v>
      </c>
      <c r="E124" s="15" t="n">
        <f aca="false">MAX(0,E123+F124-G124)</f>
        <v>0</v>
      </c>
      <c r="F124" s="15" t="n">
        <f aca="false">IF(E123&lt;=0.005,0,E123*Compare!$B$4/12)</f>
        <v>0</v>
      </c>
      <c r="G124" s="15" t="n">
        <f aca="false">IF(E123&lt;=0.005,0,MIN(E123+F124,Compare!$B$9))</f>
        <v>0</v>
      </c>
      <c r="H124" s="15" t="n">
        <f aca="false">MAX(0,H123+I124-J124)</f>
        <v>0</v>
      </c>
      <c r="I124" s="15" t="n">
        <f aca="false">IF(H123&lt;=0.005,0,H123*Compare!$B$4/12)</f>
        <v>0</v>
      </c>
      <c r="J124" s="15" t="n">
        <f aca="false">IF(H123&lt;=0.005,0,MIN(H123+I124,Compare!$B$9+Compare!$B$8))</f>
        <v>0</v>
      </c>
    </row>
    <row r="125" customFormat="false" ht="15" hidden="false" customHeight="false" outlineLevel="0" collapsed="false">
      <c r="A125" s="3" t="n">
        <v>122</v>
      </c>
      <c r="B125" s="15" t="n">
        <f aca="false">MAX(0,B124+C125-D125)</f>
        <v>880.268164575649</v>
      </c>
      <c r="C125" s="15" t="n">
        <f aca="false">IF(B124&lt;=0.005,0,B124*Compare!$B$4/12)</f>
        <v>16.3012623069565</v>
      </c>
      <c r="D125" s="15" t="n">
        <f aca="false">IF(B124&lt;=0.005,0,MIN(B124+C125,MAX(Compare!$B$7,B124*Compare!$B$5+IF(Compare!$B$6="Yes",C125,0))))</f>
        <v>25.1928599289327</v>
      </c>
      <c r="E125" s="15" t="n">
        <f aca="false">MAX(0,E124+F125-G125)</f>
        <v>0</v>
      </c>
      <c r="F125" s="15" t="n">
        <f aca="false">IF(E124&lt;=0.005,0,E124*Compare!$B$4/12)</f>
        <v>0</v>
      </c>
      <c r="G125" s="15" t="n">
        <f aca="false">IF(E124&lt;=0.005,0,MIN(E124+F125,Compare!$B$9))</f>
        <v>0</v>
      </c>
      <c r="H125" s="15" t="n">
        <f aca="false">MAX(0,H124+I125-J125)</f>
        <v>0</v>
      </c>
      <c r="I125" s="15" t="n">
        <f aca="false">IF(H124&lt;=0.005,0,H124*Compare!$B$4/12)</f>
        <v>0</v>
      </c>
      <c r="J125" s="15" t="n">
        <f aca="false">IF(H124&lt;=0.005,0,MIN(H124+I125,Compare!$B$9+Compare!$B$8))</f>
        <v>0</v>
      </c>
    </row>
    <row r="126" customFormat="false" ht="15" hidden="false" customHeight="false" outlineLevel="0" collapsed="false">
      <c r="A126" s="3" t="n">
        <v>123</v>
      </c>
      <c r="B126" s="15" t="n">
        <f aca="false">MAX(0,B125+C126-D126)</f>
        <v>871.406414259536</v>
      </c>
      <c r="C126" s="15" t="n">
        <f aca="false">IF(B125&lt;=0.005,0,B125*Compare!$B$4/12)</f>
        <v>16.1382496838869</v>
      </c>
      <c r="D126" s="15" t="n">
        <f aca="false">IF(B125&lt;=0.005,0,MIN(B125+C126,MAX(Compare!$B$7,B125*Compare!$B$5+IF(Compare!$B$6="Yes",C126,0))))</f>
        <v>25</v>
      </c>
      <c r="E126" s="15" t="n">
        <f aca="false">MAX(0,E125+F126-G126)</f>
        <v>0</v>
      </c>
      <c r="F126" s="15" t="n">
        <f aca="false">IF(E125&lt;=0.005,0,E125*Compare!$B$4/12)</f>
        <v>0</v>
      </c>
      <c r="G126" s="15" t="n">
        <f aca="false">IF(E125&lt;=0.005,0,MIN(E125+F126,Compare!$B$9))</f>
        <v>0</v>
      </c>
      <c r="H126" s="15" t="n">
        <f aca="false">MAX(0,H125+I126-J126)</f>
        <v>0</v>
      </c>
      <c r="I126" s="15" t="n">
        <f aca="false">IF(H125&lt;=0.005,0,H125*Compare!$B$4/12)</f>
        <v>0</v>
      </c>
      <c r="J126" s="15" t="n">
        <f aca="false">IF(H125&lt;=0.005,0,MIN(H125+I126,Compare!$B$9+Compare!$B$8))</f>
        <v>0</v>
      </c>
    </row>
    <row r="127" customFormat="false" ht="15" hidden="false" customHeight="false" outlineLevel="0" collapsed="false">
      <c r="A127" s="3" t="n">
        <v>124</v>
      </c>
      <c r="B127" s="15" t="n">
        <f aca="false">MAX(0,B126+C127-D127)</f>
        <v>862.38219852096</v>
      </c>
      <c r="C127" s="15" t="n">
        <f aca="false">IF(B126&lt;=0.005,0,B126*Compare!$B$4/12)</f>
        <v>15.9757842614248</v>
      </c>
      <c r="D127" s="15" t="n">
        <f aca="false">IF(B126&lt;=0.005,0,MIN(B126+C127,MAX(Compare!$B$7,B126*Compare!$B$5+IF(Compare!$B$6="Yes",C127,0))))</f>
        <v>25</v>
      </c>
      <c r="E127" s="15" t="n">
        <f aca="false">MAX(0,E126+F127-G127)</f>
        <v>0</v>
      </c>
      <c r="F127" s="15" t="n">
        <f aca="false">IF(E126&lt;=0.005,0,E126*Compare!$B$4/12)</f>
        <v>0</v>
      </c>
      <c r="G127" s="15" t="n">
        <f aca="false">IF(E126&lt;=0.005,0,MIN(E126+F127,Compare!$B$9))</f>
        <v>0</v>
      </c>
      <c r="H127" s="15" t="n">
        <f aca="false">MAX(0,H126+I127-J127)</f>
        <v>0</v>
      </c>
      <c r="I127" s="15" t="n">
        <f aca="false">IF(H126&lt;=0.005,0,H126*Compare!$B$4/12)</f>
        <v>0</v>
      </c>
      <c r="J127" s="15" t="n">
        <f aca="false">IF(H126&lt;=0.005,0,MIN(H126+I127,Compare!$B$9+Compare!$B$8))</f>
        <v>0</v>
      </c>
    </row>
    <row r="128" customFormat="false" ht="15" hidden="false" customHeight="false" outlineLevel="0" collapsed="false">
      <c r="A128" s="3" t="n">
        <v>125</v>
      </c>
      <c r="B128" s="15" t="n">
        <f aca="false">MAX(0,B127+C128-D128)</f>
        <v>853.192538827178</v>
      </c>
      <c r="C128" s="15" t="n">
        <f aca="false">IF(B127&lt;=0.005,0,B127*Compare!$B$4/12)</f>
        <v>15.8103403062176</v>
      </c>
      <c r="D128" s="15" t="n">
        <f aca="false">IF(B127&lt;=0.005,0,MIN(B127+C128,MAX(Compare!$B$7,B127*Compare!$B$5+IF(Compare!$B$6="Yes",C128,0))))</f>
        <v>25</v>
      </c>
      <c r="E128" s="15" t="n">
        <f aca="false">MAX(0,E127+F128-G128)</f>
        <v>0</v>
      </c>
      <c r="F128" s="15" t="n">
        <f aca="false">IF(E127&lt;=0.005,0,E127*Compare!$B$4/12)</f>
        <v>0</v>
      </c>
      <c r="G128" s="15" t="n">
        <f aca="false">IF(E127&lt;=0.005,0,MIN(E127+F128,Compare!$B$9))</f>
        <v>0</v>
      </c>
      <c r="H128" s="15" t="n">
        <f aca="false">MAX(0,H127+I128-J128)</f>
        <v>0</v>
      </c>
      <c r="I128" s="15" t="n">
        <f aca="false">IF(H127&lt;=0.005,0,H127*Compare!$B$4/12)</f>
        <v>0</v>
      </c>
      <c r="J128" s="15" t="n">
        <f aca="false">IF(H127&lt;=0.005,0,MIN(H127+I128,Compare!$B$9+Compare!$B$8))</f>
        <v>0</v>
      </c>
    </row>
    <row r="129" customFormat="false" ht="15" hidden="false" customHeight="false" outlineLevel="0" collapsed="false">
      <c r="A129" s="3" t="n">
        <v>126</v>
      </c>
      <c r="B129" s="15" t="n">
        <f aca="false">MAX(0,B128+C129-D129)</f>
        <v>843.83440203901</v>
      </c>
      <c r="C129" s="15" t="n">
        <f aca="false">IF(B128&lt;=0.005,0,B128*Compare!$B$4/12)</f>
        <v>15.6418632118316</v>
      </c>
      <c r="D129" s="15" t="n">
        <f aca="false">IF(B128&lt;=0.005,0,MIN(B128+C129,MAX(Compare!$B$7,B128*Compare!$B$5+IF(Compare!$B$6="Yes",C129,0))))</f>
        <v>25</v>
      </c>
      <c r="E129" s="15" t="n">
        <f aca="false">MAX(0,E128+F129-G129)</f>
        <v>0</v>
      </c>
      <c r="F129" s="15" t="n">
        <f aca="false">IF(E128&lt;=0.005,0,E128*Compare!$B$4/12)</f>
        <v>0</v>
      </c>
      <c r="G129" s="15" t="n">
        <f aca="false">IF(E128&lt;=0.005,0,MIN(E128+F129,Compare!$B$9))</f>
        <v>0</v>
      </c>
      <c r="H129" s="15" t="n">
        <f aca="false">MAX(0,H128+I129-J129)</f>
        <v>0</v>
      </c>
      <c r="I129" s="15" t="n">
        <f aca="false">IF(H128&lt;=0.005,0,H128*Compare!$B$4/12)</f>
        <v>0</v>
      </c>
      <c r="J129" s="15" t="n">
        <f aca="false">IF(H128&lt;=0.005,0,MIN(H128+I129,Compare!$B$9+Compare!$B$8))</f>
        <v>0</v>
      </c>
    </row>
    <row r="130" customFormat="false" ht="15" hidden="false" customHeight="false" outlineLevel="0" collapsed="false">
      <c r="A130" s="3" t="n">
        <v>127</v>
      </c>
      <c r="B130" s="15" t="n">
        <f aca="false">MAX(0,B129+C130-D130)</f>
        <v>834.304699409725</v>
      </c>
      <c r="C130" s="15" t="n">
        <f aca="false">IF(B129&lt;=0.005,0,B129*Compare!$B$4/12)</f>
        <v>15.4702973707152</v>
      </c>
      <c r="D130" s="15" t="n">
        <f aca="false">IF(B129&lt;=0.005,0,MIN(B129+C130,MAX(Compare!$B$7,B129*Compare!$B$5+IF(Compare!$B$6="Yes",C130,0))))</f>
        <v>25</v>
      </c>
      <c r="E130" s="15" t="n">
        <f aca="false">MAX(0,E129+F130-G130)</f>
        <v>0</v>
      </c>
      <c r="F130" s="15" t="n">
        <f aca="false">IF(E129&lt;=0.005,0,E129*Compare!$B$4/12)</f>
        <v>0</v>
      </c>
      <c r="G130" s="15" t="n">
        <f aca="false">IF(E129&lt;=0.005,0,MIN(E129+F130,Compare!$B$9))</f>
        <v>0</v>
      </c>
      <c r="H130" s="15" t="n">
        <f aca="false">MAX(0,H129+I130-J130)</f>
        <v>0</v>
      </c>
      <c r="I130" s="15" t="n">
        <f aca="false">IF(H129&lt;=0.005,0,H129*Compare!$B$4/12)</f>
        <v>0</v>
      </c>
      <c r="J130" s="15" t="n">
        <f aca="false">IF(H129&lt;=0.005,0,MIN(H129+I130,Compare!$B$9+Compare!$B$8))</f>
        <v>0</v>
      </c>
    </row>
    <row r="131" customFormat="false" ht="15" hidden="false" customHeight="false" outlineLevel="0" collapsed="false">
      <c r="A131" s="3" t="n">
        <v>128</v>
      </c>
      <c r="B131" s="15" t="n">
        <f aca="false">MAX(0,B130+C131-D131)</f>
        <v>824.60028556557</v>
      </c>
      <c r="C131" s="15" t="n">
        <f aca="false">IF(B130&lt;=0.005,0,B130*Compare!$B$4/12)</f>
        <v>15.295586155845</v>
      </c>
      <c r="D131" s="15" t="n">
        <f aca="false">IF(B130&lt;=0.005,0,MIN(B130+C131,MAX(Compare!$B$7,B130*Compare!$B$5+IF(Compare!$B$6="Yes",C131,0))))</f>
        <v>25</v>
      </c>
      <c r="E131" s="15" t="n">
        <f aca="false">MAX(0,E130+F131-G131)</f>
        <v>0</v>
      </c>
      <c r="F131" s="15" t="n">
        <f aca="false">IF(E130&lt;=0.005,0,E130*Compare!$B$4/12)</f>
        <v>0</v>
      </c>
      <c r="G131" s="15" t="n">
        <f aca="false">IF(E130&lt;=0.005,0,MIN(E130+F131,Compare!$B$9))</f>
        <v>0</v>
      </c>
      <c r="H131" s="15" t="n">
        <f aca="false">MAX(0,H130+I131-J131)</f>
        <v>0</v>
      </c>
      <c r="I131" s="15" t="n">
        <f aca="false">IF(H130&lt;=0.005,0,H130*Compare!$B$4/12)</f>
        <v>0</v>
      </c>
      <c r="J131" s="15" t="n">
        <f aca="false">IF(H130&lt;=0.005,0,MIN(H130+I131,Compare!$B$9+Compare!$B$8))</f>
        <v>0</v>
      </c>
    </row>
    <row r="132" customFormat="false" ht="15" hidden="false" customHeight="false" outlineLevel="0" collapsed="false">
      <c r="A132" s="3" t="n">
        <v>129</v>
      </c>
      <c r="B132" s="15" t="n">
        <f aca="false">MAX(0,B131+C132-D132)</f>
        <v>814.717957467605</v>
      </c>
      <c r="C132" s="15" t="n">
        <f aca="false">IF(B131&lt;=0.005,0,B131*Compare!$B$4/12)</f>
        <v>15.1176719020354</v>
      </c>
      <c r="D132" s="15" t="n">
        <f aca="false">IF(B131&lt;=0.005,0,MIN(B131+C132,MAX(Compare!$B$7,B131*Compare!$B$5+IF(Compare!$B$6="Yes",C132,0))))</f>
        <v>25</v>
      </c>
      <c r="E132" s="15" t="n">
        <f aca="false">MAX(0,E131+F132-G132)</f>
        <v>0</v>
      </c>
      <c r="F132" s="15" t="n">
        <f aca="false">IF(E131&lt;=0.005,0,E131*Compare!$B$4/12)</f>
        <v>0</v>
      </c>
      <c r="G132" s="15" t="n">
        <f aca="false">IF(E131&lt;=0.005,0,MIN(E131+F132,Compare!$B$9))</f>
        <v>0</v>
      </c>
      <c r="H132" s="15" t="n">
        <f aca="false">MAX(0,H131+I132-J132)</f>
        <v>0</v>
      </c>
      <c r="I132" s="15" t="n">
        <f aca="false">IF(H131&lt;=0.005,0,H131*Compare!$B$4/12)</f>
        <v>0</v>
      </c>
      <c r="J132" s="15" t="n">
        <f aca="false">IF(H131&lt;=0.005,0,MIN(H131+I132,Compare!$B$9+Compare!$B$8))</f>
        <v>0</v>
      </c>
    </row>
    <row r="133" customFormat="false" ht="15" hidden="false" customHeight="false" outlineLevel="0" collapsed="false">
      <c r="A133" s="3" t="n">
        <v>130</v>
      </c>
      <c r="B133" s="15" t="n">
        <f aca="false">MAX(0,B132+C133-D133)</f>
        <v>804.654453354511</v>
      </c>
      <c r="C133" s="15" t="n">
        <f aca="false">IF(B132&lt;=0.005,0,B132*Compare!$B$4/12)</f>
        <v>14.9364958869061</v>
      </c>
      <c r="D133" s="15" t="n">
        <f aca="false">IF(B132&lt;=0.005,0,MIN(B132+C133,MAX(Compare!$B$7,B132*Compare!$B$5+IF(Compare!$B$6="Yes",C133,0))))</f>
        <v>25</v>
      </c>
      <c r="E133" s="15" t="n">
        <f aca="false">MAX(0,E132+F133-G133)</f>
        <v>0</v>
      </c>
      <c r="F133" s="15" t="n">
        <f aca="false">IF(E132&lt;=0.005,0,E132*Compare!$B$4/12)</f>
        <v>0</v>
      </c>
      <c r="G133" s="15" t="n">
        <f aca="false">IF(E132&lt;=0.005,0,MIN(E132+F133,Compare!$B$9))</f>
        <v>0</v>
      </c>
      <c r="H133" s="15" t="n">
        <f aca="false">MAX(0,H132+I133-J133)</f>
        <v>0</v>
      </c>
      <c r="I133" s="15" t="n">
        <f aca="false">IF(H132&lt;=0.005,0,H132*Compare!$B$4/12)</f>
        <v>0</v>
      </c>
      <c r="J133" s="15" t="n">
        <f aca="false">IF(H132&lt;=0.005,0,MIN(H132+I133,Compare!$B$9+Compare!$B$8))</f>
        <v>0</v>
      </c>
    </row>
    <row r="134" customFormat="false" ht="15" hidden="false" customHeight="false" outlineLevel="0" collapsed="false">
      <c r="A134" s="3" t="n">
        <v>131</v>
      </c>
      <c r="B134" s="15" t="n">
        <f aca="false">MAX(0,B133+C134-D134)</f>
        <v>794.406451666011</v>
      </c>
      <c r="C134" s="15" t="n">
        <f aca="false">IF(B133&lt;=0.005,0,B133*Compare!$B$4/12)</f>
        <v>14.7519983114994</v>
      </c>
      <c r="D134" s="15" t="n">
        <f aca="false">IF(B133&lt;=0.005,0,MIN(B133+C134,MAX(Compare!$B$7,B133*Compare!$B$5+IF(Compare!$B$6="Yes",C134,0))))</f>
        <v>25</v>
      </c>
      <c r="E134" s="15" t="n">
        <f aca="false">MAX(0,E133+F134-G134)</f>
        <v>0</v>
      </c>
      <c r="F134" s="15" t="n">
        <f aca="false">IF(E133&lt;=0.005,0,E133*Compare!$B$4/12)</f>
        <v>0</v>
      </c>
      <c r="G134" s="15" t="n">
        <f aca="false">IF(E133&lt;=0.005,0,MIN(E133+F134,Compare!$B$9))</f>
        <v>0</v>
      </c>
      <c r="H134" s="15" t="n">
        <f aca="false">MAX(0,H133+I134-J134)</f>
        <v>0</v>
      </c>
      <c r="I134" s="15" t="n">
        <f aca="false">IF(H133&lt;=0.005,0,H133*Compare!$B$4/12)</f>
        <v>0</v>
      </c>
      <c r="J134" s="15" t="n">
        <f aca="false">IF(H133&lt;=0.005,0,MIN(H133+I134,Compare!$B$9+Compare!$B$8))</f>
        <v>0</v>
      </c>
    </row>
    <row r="135" customFormat="false" ht="15" hidden="false" customHeight="false" outlineLevel="0" collapsed="false">
      <c r="A135" s="3" t="n">
        <v>132</v>
      </c>
      <c r="B135" s="15" t="n">
        <f aca="false">MAX(0,B134+C135-D135)</f>
        <v>783.970569946554</v>
      </c>
      <c r="C135" s="15" t="n">
        <f aca="false">IF(B134&lt;=0.005,0,B134*Compare!$B$4/12)</f>
        <v>14.5641182805435</v>
      </c>
      <c r="D135" s="15" t="n">
        <f aca="false">IF(B134&lt;=0.005,0,MIN(B134+C135,MAX(Compare!$B$7,B134*Compare!$B$5+IF(Compare!$B$6="Yes",C135,0))))</f>
        <v>25</v>
      </c>
      <c r="E135" s="15" t="n">
        <f aca="false">MAX(0,E134+F135-G135)</f>
        <v>0</v>
      </c>
      <c r="F135" s="15" t="n">
        <f aca="false">IF(E134&lt;=0.005,0,E134*Compare!$B$4/12)</f>
        <v>0</v>
      </c>
      <c r="G135" s="15" t="n">
        <f aca="false">IF(E134&lt;=0.005,0,MIN(E134+F135,Compare!$B$9))</f>
        <v>0</v>
      </c>
      <c r="H135" s="15" t="n">
        <f aca="false">MAX(0,H134+I135-J135)</f>
        <v>0</v>
      </c>
      <c r="I135" s="15" t="n">
        <f aca="false">IF(H134&lt;=0.005,0,H134*Compare!$B$4/12)</f>
        <v>0</v>
      </c>
      <c r="J135" s="15" t="n">
        <f aca="false">IF(H134&lt;=0.005,0,MIN(H134+I135,Compare!$B$9+Compare!$B$8))</f>
        <v>0</v>
      </c>
    </row>
    <row r="136" customFormat="false" ht="15" hidden="false" customHeight="false" outlineLevel="0" collapsed="false">
      <c r="A136" s="3" t="n">
        <v>133</v>
      </c>
      <c r="B136" s="15" t="n">
        <f aca="false">MAX(0,B135+C136-D136)</f>
        <v>773.343363728908</v>
      </c>
      <c r="C136" s="15" t="n">
        <f aca="false">IF(B135&lt;=0.005,0,B135*Compare!$B$4/12)</f>
        <v>14.3727937823535</v>
      </c>
      <c r="D136" s="15" t="n">
        <f aca="false">IF(B135&lt;=0.005,0,MIN(B135+C136,MAX(Compare!$B$7,B135*Compare!$B$5+IF(Compare!$B$6="Yes",C136,0))))</f>
        <v>25</v>
      </c>
      <c r="E136" s="15" t="n">
        <f aca="false">MAX(0,E135+F136-G136)</f>
        <v>0</v>
      </c>
      <c r="F136" s="15" t="n">
        <f aca="false">IF(E135&lt;=0.005,0,E135*Compare!$B$4/12)</f>
        <v>0</v>
      </c>
      <c r="G136" s="15" t="n">
        <f aca="false">IF(E135&lt;=0.005,0,MIN(E135+F136,Compare!$B$9))</f>
        <v>0</v>
      </c>
      <c r="H136" s="15" t="n">
        <f aca="false">MAX(0,H135+I136-J136)</f>
        <v>0</v>
      </c>
      <c r="I136" s="15" t="n">
        <f aca="false">IF(H135&lt;=0.005,0,H135*Compare!$B$4/12)</f>
        <v>0</v>
      </c>
      <c r="J136" s="15" t="n">
        <f aca="false">IF(H135&lt;=0.005,0,MIN(H135+I136,Compare!$B$9+Compare!$B$8))</f>
        <v>0</v>
      </c>
    </row>
    <row r="137" customFormat="false" ht="15" hidden="false" customHeight="false" outlineLevel="0" collapsed="false">
      <c r="A137" s="3" t="n">
        <v>134</v>
      </c>
      <c r="B137" s="15" t="n">
        <f aca="false">MAX(0,B136+C137-D137)</f>
        <v>762.521325397271</v>
      </c>
      <c r="C137" s="15" t="n">
        <f aca="false">IF(B136&lt;=0.005,0,B136*Compare!$B$4/12)</f>
        <v>14.1779616683633</v>
      </c>
      <c r="D137" s="15" t="n">
        <f aca="false">IF(B136&lt;=0.005,0,MIN(B136+C137,MAX(Compare!$B$7,B136*Compare!$B$5+IF(Compare!$B$6="Yes",C137,0))))</f>
        <v>25</v>
      </c>
      <c r="E137" s="15" t="n">
        <f aca="false">MAX(0,E136+F137-G137)</f>
        <v>0</v>
      </c>
      <c r="F137" s="15" t="n">
        <f aca="false">IF(E136&lt;=0.005,0,E136*Compare!$B$4/12)</f>
        <v>0</v>
      </c>
      <c r="G137" s="15" t="n">
        <f aca="false">IF(E136&lt;=0.005,0,MIN(E136+F137,Compare!$B$9))</f>
        <v>0</v>
      </c>
      <c r="H137" s="15" t="n">
        <f aca="false">MAX(0,H136+I137-J137)</f>
        <v>0</v>
      </c>
      <c r="I137" s="15" t="n">
        <f aca="false">IF(H136&lt;=0.005,0,H136*Compare!$B$4/12)</f>
        <v>0</v>
      </c>
      <c r="J137" s="15" t="n">
        <f aca="false">IF(H136&lt;=0.005,0,MIN(H136+I137,Compare!$B$9+Compare!$B$8))</f>
        <v>0</v>
      </c>
    </row>
    <row r="138" customFormat="false" ht="15" hidden="false" customHeight="false" outlineLevel="0" collapsed="false">
      <c r="A138" s="3" t="n">
        <v>135</v>
      </c>
      <c r="B138" s="15" t="n">
        <f aca="false">MAX(0,B137+C138-D138)</f>
        <v>751.500883029554</v>
      </c>
      <c r="C138" s="15" t="n">
        <f aca="false">IF(B137&lt;=0.005,0,B137*Compare!$B$4/12)</f>
        <v>13.9795576322833</v>
      </c>
      <c r="D138" s="15" t="n">
        <f aca="false">IF(B137&lt;=0.005,0,MIN(B137+C138,MAX(Compare!$B$7,B137*Compare!$B$5+IF(Compare!$B$6="Yes",C138,0))))</f>
        <v>25</v>
      </c>
      <c r="E138" s="15" t="n">
        <f aca="false">MAX(0,E137+F138-G138)</f>
        <v>0</v>
      </c>
      <c r="F138" s="15" t="n">
        <f aca="false">IF(E137&lt;=0.005,0,E137*Compare!$B$4/12)</f>
        <v>0</v>
      </c>
      <c r="G138" s="15" t="n">
        <f aca="false">IF(E137&lt;=0.005,0,MIN(E137+F138,Compare!$B$9))</f>
        <v>0</v>
      </c>
      <c r="H138" s="15" t="n">
        <f aca="false">MAX(0,H137+I138-J138)</f>
        <v>0</v>
      </c>
      <c r="I138" s="15" t="n">
        <f aca="false">IF(H137&lt;=0.005,0,H137*Compare!$B$4/12)</f>
        <v>0</v>
      </c>
      <c r="J138" s="15" t="n">
        <f aca="false">IF(H137&lt;=0.005,0,MIN(H137+I138,Compare!$B$9+Compare!$B$8))</f>
        <v>0</v>
      </c>
    </row>
    <row r="139" customFormat="false" ht="15" hidden="false" customHeight="false" outlineLevel="0" collapsed="false">
      <c r="A139" s="3" t="n">
        <v>136</v>
      </c>
      <c r="B139" s="15" t="n">
        <f aca="false">MAX(0,B138+C139-D139)</f>
        <v>740.27839921843</v>
      </c>
      <c r="C139" s="15" t="n">
        <f aca="false">IF(B138&lt;=0.005,0,B138*Compare!$B$4/12)</f>
        <v>13.7775161888752</v>
      </c>
      <c r="D139" s="15" t="n">
        <f aca="false">IF(B138&lt;=0.005,0,MIN(B138+C139,MAX(Compare!$B$7,B138*Compare!$B$5+IF(Compare!$B$6="Yes",C139,0))))</f>
        <v>25</v>
      </c>
      <c r="E139" s="15" t="n">
        <f aca="false">MAX(0,E138+F139-G139)</f>
        <v>0</v>
      </c>
      <c r="F139" s="15" t="n">
        <f aca="false">IF(E138&lt;=0.005,0,E138*Compare!$B$4/12)</f>
        <v>0</v>
      </c>
      <c r="G139" s="15" t="n">
        <f aca="false">IF(E138&lt;=0.005,0,MIN(E138+F139,Compare!$B$9))</f>
        <v>0</v>
      </c>
      <c r="H139" s="15" t="n">
        <f aca="false">MAX(0,H138+I139-J139)</f>
        <v>0</v>
      </c>
      <c r="I139" s="15" t="n">
        <f aca="false">IF(H138&lt;=0.005,0,H138*Compare!$B$4/12)</f>
        <v>0</v>
      </c>
      <c r="J139" s="15" t="n">
        <f aca="false">IF(H138&lt;=0.005,0,MIN(H138+I139,Compare!$B$9+Compare!$B$8))</f>
        <v>0</v>
      </c>
    </row>
    <row r="140" customFormat="false" ht="15" hidden="false" customHeight="false" outlineLevel="0" collapsed="false">
      <c r="A140" s="3" t="n">
        <v>137</v>
      </c>
      <c r="B140" s="15" t="n">
        <f aca="false">MAX(0,B139+C140-D140)</f>
        <v>728.850169870767</v>
      </c>
      <c r="C140" s="15" t="n">
        <f aca="false">IF(B139&lt;=0.005,0,B139*Compare!$B$4/12)</f>
        <v>13.5717706523379</v>
      </c>
      <c r="D140" s="15" t="n">
        <f aca="false">IF(B139&lt;=0.005,0,MIN(B139+C140,MAX(Compare!$B$7,B139*Compare!$B$5+IF(Compare!$B$6="Yes",C140,0))))</f>
        <v>25</v>
      </c>
      <c r="E140" s="15" t="n">
        <f aca="false">MAX(0,E139+F140-G140)</f>
        <v>0</v>
      </c>
      <c r="F140" s="15" t="n">
        <f aca="false">IF(E139&lt;=0.005,0,E139*Compare!$B$4/12)</f>
        <v>0</v>
      </c>
      <c r="G140" s="15" t="n">
        <f aca="false">IF(E139&lt;=0.005,0,MIN(E139+F140,Compare!$B$9))</f>
        <v>0</v>
      </c>
      <c r="H140" s="15" t="n">
        <f aca="false">MAX(0,H139+I140-J140)</f>
        <v>0</v>
      </c>
      <c r="I140" s="15" t="n">
        <f aca="false">IF(H139&lt;=0.005,0,H139*Compare!$B$4/12)</f>
        <v>0</v>
      </c>
      <c r="J140" s="15" t="n">
        <f aca="false">IF(H139&lt;=0.005,0,MIN(H139+I140,Compare!$B$9+Compare!$B$8))</f>
        <v>0</v>
      </c>
    </row>
    <row r="141" customFormat="false" ht="15" hidden="false" customHeight="false" outlineLevel="0" collapsed="false">
      <c r="A141" s="3" t="n">
        <v>138</v>
      </c>
      <c r="B141" s="15" t="n">
        <f aca="false">MAX(0,B140+C141-D141)</f>
        <v>717.212422985065</v>
      </c>
      <c r="C141" s="15" t="n">
        <f aca="false">IF(B140&lt;=0.005,0,B140*Compare!$B$4/12)</f>
        <v>13.3622531142974</v>
      </c>
      <c r="D141" s="15" t="n">
        <f aca="false">IF(B140&lt;=0.005,0,MIN(B140+C141,MAX(Compare!$B$7,B140*Compare!$B$5+IF(Compare!$B$6="Yes",C141,0))))</f>
        <v>25</v>
      </c>
      <c r="E141" s="15" t="n">
        <f aca="false">MAX(0,E140+F141-G141)</f>
        <v>0</v>
      </c>
      <c r="F141" s="15" t="n">
        <f aca="false">IF(E140&lt;=0.005,0,E140*Compare!$B$4/12)</f>
        <v>0</v>
      </c>
      <c r="G141" s="15" t="n">
        <f aca="false">IF(E140&lt;=0.005,0,MIN(E140+F141,Compare!$B$9))</f>
        <v>0</v>
      </c>
      <c r="H141" s="15" t="n">
        <f aca="false">MAX(0,H140+I141-J141)</f>
        <v>0</v>
      </c>
      <c r="I141" s="15" t="n">
        <f aca="false">IF(H140&lt;=0.005,0,H140*Compare!$B$4/12)</f>
        <v>0</v>
      </c>
      <c r="J141" s="15" t="n">
        <f aca="false">IF(H140&lt;=0.005,0,MIN(H140+I141,Compare!$B$9+Compare!$B$8))</f>
        <v>0</v>
      </c>
    </row>
    <row r="142" customFormat="false" ht="15" hidden="false" customHeight="false" outlineLevel="0" collapsed="false">
      <c r="A142" s="3" t="n">
        <v>139</v>
      </c>
      <c r="B142" s="15" t="n">
        <f aca="false">MAX(0,B141+C142-D142)</f>
        <v>705.361317406458</v>
      </c>
      <c r="C142" s="15" t="n">
        <f aca="false">IF(B141&lt;=0.005,0,B141*Compare!$B$4/12)</f>
        <v>13.1488944213929</v>
      </c>
      <c r="D142" s="15" t="n">
        <f aca="false">IF(B141&lt;=0.005,0,MIN(B141+C142,MAX(Compare!$B$7,B141*Compare!$B$5+IF(Compare!$B$6="Yes",C142,0))))</f>
        <v>25</v>
      </c>
      <c r="E142" s="15" t="n">
        <f aca="false">MAX(0,E141+F142-G142)</f>
        <v>0</v>
      </c>
      <c r="F142" s="15" t="n">
        <f aca="false">IF(E141&lt;=0.005,0,E141*Compare!$B$4/12)</f>
        <v>0</v>
      </c>
      <c r="G142" s="15" t="n">
        <f aca="false">IF(E141&lt;=0.005,0,MIN(E141+F142,Compare!$B$9))</f>
        <v>0</v>
      </c>
      <c r="H142" s="15" t="n">
        <f aca="false">MAX(0,H141+I142-J142)</f>
        <v>0</v>
      </c>
      <c r="I142" s="15" t="n">
        <f aca="false">IF(H141&lt;=0.005,0,H141*Compare!$B$4/12)</f>
        <v>0</v>
      </c>
      <c r="J142" s="15" t="n">
        <f aca="false">IF(H141&lt;=0.005,0,MIN(H141+I142,Compare!$B$9+Compare!$B$8))</f>
        <v>0</v>
      </c>
    </row>
    <row r="143" customFormat="false" ht="15" hidden="false" customHeight="false" outlineLevel="0" collapsed="false">
      <c r="A143" s="3" t="n">
        <v>140</v>
      </c>
      <c r="B143" s="15" t="n">
        <f aca="false">MAX(0,B142+C143-D143)</f>
        <v>693.292941558909</v>
      </c>
      <c r="C143" s="15" t="n">
        <f aca="false">IF(B142&lt;=0.005,0,B142*Compare!$B$4/12)</f>
        <v>12.9316241524517</v>
      </c>
      <c r="D143" s="15" t="n">
        <f aca="false">IF(B142&lt;=0.005,0,MIN(B142+C143,MAX(Compare!$B$7,B142*Compare!$B$5+IF(Compare!$B$6="Yes",C143,0))))</f>
        <v>25</v>
      </c>
      <c r="E143" s="15" t="n">
        <f aca="false">MAX(0,E142+F143-G143)</f>
        <v>0</v>
      </c>
      <c r="F143" s="15" t="n">
        <f aca="false">IF(E142&lt;=0.005,0,E142*Compare!$B$4/12)</f>
        <v>0</v>
      </c>
      <c r="G143" s="15" t="n">
        <f aca="false">IF(E142&lt;=0.005,0,MIN(E142+F143,Compare!$B$9))</f>
        <v>0</v>
      </c>
      <c r="H143" s="15" t="n">
        <f aca="false">MAX(0,H142+I143-J143)</f>
        <v>0</v>
      </c>
      <c r="I143" s="15" t="n">
        <f aca="false">IF(H142&lt;=0.005,0,H142*Compare!$B$4/12)</f>
        <v>0</v>
      </c>
      <c r="J143" s="15" t="n">
        <f aca="false">IF(H142&lt;=0.005,0,MIN(H142+I143,Compare!$B$9+Compare!$B$8))</f>
        <v>0</v>
      </c>
    </row>
    <row r="144" customFormat="false" ht="15" hidden="false" customHeight="false" outlineLevel="0" collapsed="false">
      <c r="A144" s="3" t="n">
        <v>141</v>
      </c>
      <c r="B144" s="15" t="n">
        <f aca="false">MAX(0,B143+C144-D144)</f>
        <v>681.003312154156</v>
      </c>
      <c r="C144" s="15" t="n">
        <f aca="false">IF(B143&lt;=0.005,0,B143*Compare!$B$4/12)</f>
        <v>12.7103705952467</v>
      </c>
      <c r="D144" s="15" t="n">
        <f aca="false">IF(B143&lt;=0.005,0,MIN(B143+C144,MAX(Compare!$B$7,B143*Compare!$B$5+IF(Compare!$B$6="Yes",C144,0))))</f>
        <v>25</v>
      </c>
      <c r="E144" s="15" t="n">
        <f aca="false">MAX(0,E143+F144-G144)</f>
        <v>0</v>
      </c>
      <c r="F144" s="15" t="n">
        <f aca="false">IF(E143&lt;=0.005,0,E143*Compare!$B$4/12)</f>
        <v>0</v>
      </c>
      <c r="G144" s="15" t="n">
        <f aca="false">IF(E143&lt;=0.005,0,MIN(E143+F144,Compare!$B$9))</f>
        <v>0</v>
      </c>
      <c r="H144" s="15" t="n">
        <f aca="false">MAX(0,H143+I144-J144)</f>
        <v>0</v>
      </c>
      <c r="I144" s="15" t="n">
        <f aca="false">IF(H143&lt;=0.005,0,H143*Compare!$B$4/12)</f>
        <v>0</v>
      </c>
      <c r="J144" s="15" t="n">
        <f aca="false">IF(H143&lt;=0.005,0,MIN(H143+I144,Compare!$B$9+Compare!$B$8))</f>
        <v>0</v>
      </c>
    </row>
    <row r="145" customFormat="false" ht="15" hidden="false" customHeight="false" outlineLevel="0" collapsed="false">
      <c r="A145" s="3" t="n">
        <v>142</v>
      </c>
      <c r="B145" s="15" t="n">
        <f aca="false">MAX(0,B144+C145-D145)</f>
        <v>668.488372876982</v>
      </c>
      <c r="C145" s="15" t="n">
        <f aca="false">IF(B144&lt;=0.005,0,B144*Compare!$B$4/12)</f>
        <v>12.4850607228262</v>
      </c>
      <c r="D145" s="15" t="n">
        <f aca="false">IF(B144&lt;=0.005,0,MIN(B144+C145,MAX(Compare!$B$7,B144*Compare!$B$5+IF(Compare!$B$6="Yes",C145,0))))</f>
        <v>25</v>
      </c>
      <c r="E145" s="15" t="n">
        <f aca="false">MAX(0,E144+F145-G145)</f>
        <v>0</v>
      </c>
      <c r="F145" s="15" t="n">
        <f aca="false">IF(E144&lt;=0.005,0,E144*Compare!$B$4/12)</f>
        <v>0</v>
      </c>
      <c r="G145" s="15" t="n">
        <f aca="false">IF(E144&lt;=0.005,0,MIN(E144+F145,Compare!$B$9))</f>
        <v>0</v>
      </c>
      <c r="H145" s="15" t="n">
        <f aca="false">MAX(0,H144+I145-J145)</f>
        <v>0</v>
      </c>
      <c r="I145" s="15" t="n">
        <f aca="false">IF(H144&lt;=0.005,0,H144*Compare!$B$4/12)</f>
        <v>0</v>
      </c>
      <c r="J145" s="15" t="n">
        <f aca="false">IF(H144&lt;=0.005,0,MIN(H144+I145,Compare!$B$9+Compare!$B$8))</f>
        <v>0</v>
      </c>
    </row>
    <row r="146" customFormat="false" ht="15" hidden="false" customHeight="false" outlineLevel="0" collapsed="false">
      <c r="A146" s="3" t="n">
        <v>143</v>
      </c>
      <c r="B146" s="15" t="n">
        <f aca="false">MAX(0,B145+C146-D146)</f>
        <v>655.743993046394</v>
      </c>
      <c r="C146" s="15" t="n">
        <f aca="false">IF(B145&lt;=0.005,0,B145*Compare!$B$4/12)</f>
        <v>12.2556201694113</v>
      </c>
      <c r="D146" s="15" t="n">
        <f aca="false">IF(B145&lt;=0.005,0,MIN(B145+C146,MAX(Compare!$B$7,B145*Compare!$B$5+IF(Compare!$B$6="Yes",C146,0))))</f>
        <v>25</v>
      </c>
      <c r="E146" s="15" t="n">
        <f aca="false">MAX(0,E145+F146-G146)</f>
        <v>0</v>
      </c>
      <c r="F146" s="15" t="n">
        <f aca="false">IF(E145&lt;=0.005,0,E145*Compare!$B$4/12)</f>
        <v>0</v>
      </c>
      <c r="G146" s="15" t="n">
        <f aca="false">IF(E145&lt;=0.005,0,MIN(E145+F146,Compare!$B$9))</f>
        <v>0</v>
      </c>
      <c r="H146" s="15" t="n">
        <f aca="false">MAX(0,H145+I146-J146)</f>
        <v>0</v>
      </c>
      <c r="I146" s="15" t="n">
        <f aca="false">IF(H145&lt;=0.005,0,H145*Compare!$B$4/12)</f>
        <v>0</v>
      </c>
      <c r="J146" s="15" t="n">
        <f aca="false">IF(H145&lt;=0.005,0,MIN(H145+I146,Compare!$B$9+Compare!$B$8))</f>
        <v>0</v>
      </c>
    </row>
    <row r="147" customFormat="false" ht="15" hidden="false" customHeight="false" outlineLevel="0" collapsed="false">
      <c r="A147" s="3" t="n">
        <v>144</v>
      </c>
      <c r="B147" s="15" t="n">
        <f aca="false">MAX(0,B146+C147-D147)</f>
        <v>642.765966252244</v>
      </c>
      <c r="C147" s="15" t="n">
        <f aca="false">IF(B146&lt;=0.005,0,B146*Compare!$B$4/12)</f>
        <v>12.0219732058505</v>
      </c>
      <c r="D147" s="15" t="n">
        <f aca="false">IF(B146&lt;=0.005,0,MIN(B146+C147,MAX(Compare!$B$7,B146*Compare!$B$5+IF(Compare!$B$6="Yes",C147,0))))</f>
        <v>25</v>
      </c>
      <c r="E147" s="15" t="n">
        <f aca="false">MAX(0,E146+F147-G147)</f>
        <v>0</v>
      </c>
      <c r="F147" s="15" t="n">
        <f aca="false">IF(E146&lt;=0.005,0,E146*Compare!$B$4/12)</f>
        <v>0</v>
      </c>
      <c r="G147" s="15" t="n">
        <f aca="false">IF(E146&lt;=0.005,0,MIN(E146+F147,Compare!$B$9))</f>
        <v>0</v>
      </c>
      <c r="H147" s="15" t="n">
        <f aca="false">MAX(0,H146+I147-J147)</f>
        <v>0</v>
      </c>
      <c r="I147" s="15" t="n">
        <f aca="false">IF(H146&lt;=0.005,0,H146*Compare!$B$4/12)</f>
        <v>0</v>
      </c>
      <c r="J147" s="15" t="n">
        <f aca="false">IF(H146&lt;=0.005,0,MIN(H146+I147,Compare!$B$9+Compare!$B$8))</f>
        <v>0</v>
      </c>
    </row>
    <row r="148" customFormat="false" ht="15" hidden="false" customHeight="false" outlineLevel="0" collapsed="false">
      <c r="A148" s="3" t="n">
        <v>145</v>
      </c>
      <c r="B148" s="15" t="n">
        <f aca="false">MAX(0,B147+C148-D148)</f>
        <v>629.550008966869</v>
      </c>
      <c r="C148" s="15" t="n">
        <f aca="false">IF(B147&lt;=0.005,0,B147*Compare!$B$4/12)</f>
        <v>11.7840427146245</v>
      </c>
      <c r="D148" s="15" t="n">
        <f aca="false">IF(B147&lt;=0.005,0,MIN(B147+C148,MAX(Compare!$B$7,B147*Compare!$B$5+IF(Compare!$B$6="Yes",C148,0))))</f>
        <v>25</v>
      </c>
      <c r="E148" s="15" t="n">
        <f aca="false">MAX(0,E147+F148-G148)</f>
        <v>0</v>
      </c>
      <c r="F148" s="15" t="n">
        <f aca="false">IF(E147&lt;=0.005,0,E147*Compare!$B$4/12)</f>
        <v>0</v>
      </c>
      <c r="G148" s="15" t="n">
        <f aca="false">IF(E147&lt;=0.005,0,MIN(E147+F148,Compare!$B$9))</f>
        <v>0</v>
      </c>
      <c r="H148" s="15" t="n">
        <f aca="false">MAX(0,H147+I148-J148)</f>
        <v>0</v>
      </c>
      <c r="I148" s="15" t="n">
        <f aca="false">IF(H147&lt;=0.005,0,H147*Compare!$B$4/12)</f>
        <v>0</v>
      </c>
      <c r="J148" s="15" t="n">
        <f aca="false">IF(H147&lt;=0.005,0,MIN(H147+I148,Compare!$B$9+Compare!$B$8))</f>
        <v>0</v>
      </c>
    </row>
    <row r="149" customFormat="false" ht="15" hidden="false" customHeight="false" outlineLevel="0" collapsed="false">
      <c r="A149" s="3" t="n">
        <v>146</v>
      </c>
      <c r="B149" s="15" t="n">
        <f aca="false">MAX(0,B148+C149-D149)</f>
        <v>616.091759131261</v>
      </c>
      <c r="C149" s="15" t="n">
        <f aca="false">IF(B148&lt;=0.005,0,B148*Compare!$B$4/12)</f>
        <v>11.5417501643926</v>
      </c>
      <c r="D149" s="15" t="n">
        <f aca="false">IF(B148&lt;=0.005,0,MIN(B148+C149,MAX(Compare!$B$7,B148*Compare!$B$5+IF(Compare!$B$6="Yes",C149,0))))</f>
        <v>25</v>
      </c>
      <c r="E149" s="15" t="n">
        <f aca="false">MAX(0,E148+F149-G149)</f>
        <v>0</v>
      </c>
      <c r="F149" s="15" t="n">
        <f aca="false">IF(E148&lt;=0.005,0,E148*Compare!$B$4/12)</f>
        <v>0</v>
      </c>
      <c r="G149" s="15" t="n">
        <f aca="false">IF(E148&lt;=0.005,0,MIN(E148+F149,Compare!$B$9))</f>
        <v>0</v>
      </c>
      <c r="H149" s="15" t="n">
        <f aca="false">MAX(0,H148+I149-J149)</f>
        <v>0</v>
      </c>
      <c r="I149" s="15" t="n">
        <f aca="false">IF(H148&lt;=0.005,0,H148*Compare!$B$4/12)</f>
        <v>0</v>
      </c>
      <c r="J149" s="15" t="n">
        <f aca="false">IF(H148&lt;=0.005,0,MIN(H148+I149,Compare!$B$9+Compare!$B$8))</f>
        <v>0</v>
      </c>
    </row>
    <row r="150" customFormat="false" ht="15" hidden="false" customHeight="false" outlineLevel="0" collapsed="false">
      <c r="A150" s="3" t="n">
        <v>147</v>
      </c>
      <c r="B150" s="15" t="n">
        <f aca="false">MAX(0,B149+C150-D150)</f>
        <v>602.386774715334</v>
      </c>
      <c r="C150" s="15" t="n">
        <f aca="false">IF(B149&lt;=0.005,0,B149*Compare!$B$4/12)</f>
        <v>11.2950155840731</v>
      </c>
      <c r="D150" s="15" t="n">
        <f aca="false">IF(B149&lt;=0.005,0,MIN(B149+C150,MAX(Compare!$B$7,B149*Compare!$B$5+IF(Compare!$B$6="Yes",C150,0))))</f>
        <v>25</v>
      </c>
      <c r="E150" s="15" t="n">
        <f aca="false">MAX(0,E149+F150-G150)</f>
        <v>0</v>
      </c>
      <c r="F150" s="15" t="n">
        <f aca="false">IF(E149&lt;=0.005,0,E149*Compare!$B$4/12)</f>
        <v>0</v>
      </c>
      <c r="G150" s="15" t="n">
        <f aca="false">IF(E149&lt;=0.005,0,MIN(E149+F150,Compare!$B$9))</f>
        <v>0</v>
      </c>
      <c r="H150" s="15" t="n">
        <f aca="false">MAX(0,H149+I150-J150)</f>
        <v>0</v>
      </c>
      <c r="I150" s="15" t="n">
        <f aca="false">IF(H149&lt;=0.005,0,H149*Compare!$B$4/12)</f>
        <v>0</v>
      </c>
      <c r="J150" s="15" t="n">
        <f aca="false">IF(H149&lt;=0.005,0,MIN(H149+I150,Compare!$B$9+Compare!$B$8))</f>
        <v>0</v>
      </c>
    </row>
    <row r="151" customFormat="false" ht="15" hidden="false" customHeight="false" outlineLevel="0" collapsed="false">
      <c r="A151" s="3" t="n">
        <v>148</v>
      </c>
      <c r="B151" s="15" t="n">
        <f aca="false">MAX(0,B150+C151-D151)</f>
        <v>588.430532251782</v>
      </c>
      <c r="C151" s="15" t="n">
        <f aca="false">IF(B150&lt;=0.005,0,B150*Compare!$B$4/12)</f>
        <v>11.0437575364478</v>
      </c>
      <c r="D151" s="15" t="n">
        <f aca="false">IF(B150&lt;=0.005,0,MIN(B150+C151,MAX(Compare!$B$7,B150*Compare!$B$5+IF(Compare!$B$6="Yes",C151,0))))</f>
        <v>25</v>
      </c>
      <c r="E151" s="15" t="n">
        <f aca="false">MAX(0,E150+F151-G151)</f>
        <v>0</v>
      </c>
      <c r="F151" s="15" t="n">
        <f aca="false">IF(E150&lt;=0.005,0,E150*Compare!$B$4/12)</f>
        <v>0</v>
      </c>
      <c r="G151" s="15" t="n">
        <f aca="false">IF(E150&lt;=0.005,0,MIN(E150+F151,Compare!$B$9))</f>
        <v>0</v>
      </c>
      <c r="H151" s="15" t="n">
        <f aca="false">MAX(0,H150+I151-J151)</f>
        <v>0</v>
      </c>
      <c r="I151" s="15" t="n">
        <f aca="false">IF(H150&lt;=0.005,0,H150*Compare!$B$4/12)</f>
        <v>0</v>
      </c>
      <c r="J151" s="15" t="n">
        <f aca="false">IF(H150&lt;=0.005,0,MIN(H150+I151,Compare!$B$9+Compare!$B$8))</f>
        <v>0</v>
      </c>
    </row>
    <row r="152" customFormat="false" ht="15" hidden="false" customHeight="false" outlineLevel="0" collapsed="false">
      <c r="A152" s="3" t="n">
        <v>149</v>
      </c>
      <c r="B152" s="15" t="n">
        <f aca="false">MAX(0,B151+C152-D152)</f>
        <v>574.218425343065</v>
      </c>
      <c r="C152" s="15" t="n">
        <f aca="false">IF(B151&lt;=0.005,0,B151*Compare!$B$4/12)</f>
        <v>10.7878930912827</v>
      </c>
      <c r="D152" s="15" t="n">
        <f aca="false">IF(B151&lt;=0.005,0,MIN(B151+C152,MAX(Compare!$B$7,B151*Compare!$B$5+IF(Compare!$B$6="Yes",C152,0))))</f>
        <v>25</v>
      </c>
      <c r="E152" s="15" t="n">
        <f aca="false">MAX(0,E151+F152-G152)</f>
        <v>0</v>
      </c>
      <c r="F152" s="15" t="n">
        <f aca="false">IF(E151&lt;=0.005,0,E151*Compare!$B$4/12)</f>
        <v>0</v>
      </c>
      <c r="G152" s="15" t="n">
        <f aca="false">IF(E151&lt;=0.005,0,MIN(E151+F152,Compare!$B$9))</f>
        <v>0</v>
      </c>
      <c r="H152" s="15" t="n">
        <f aca="false">MAX(0,H151+I152-J152)</f>
        <v>0</v>
      </c>
      <c r="I152" s="15" t="n">
        <f aca="false">IF(H151&lt;=0.005,0,H151*Compare!$B$4/12)</f>
        <v>0</v>
      </c>
      <c r="J152" s="15" t="n">
        <f aca="false">IF(H151&lt;=0.005,0,MIN(H151+I152,Compare!$B$9+Compare!$B$8))</f>
        <v>0</v>
      </c>
    </row>
    <row r="153" customFormat="false" ht="15" hidden="false" customHeight="false" outlineLevel="0" collapsed="false">
      <c r="A153" s="3" t="n">
        <v>150</v>
      </c>
      <c r="B153" s="15" t="n">
        <f aca="false">MAX(0,B152+C153-D153)</f>
        <v>559.745763141021</v>
      </c>
      <c r="C153" s="15" t="n">
        <f aca="false">IF(B152&lt;=0.005,0,B152*Compare!$B$4/12)</f>
        <v>10.5273377979562</v>
      </c>
      <c r="D153" s="15" t="n">
        <f aca="false">IF(B152&lt;=0.005,0,MIN(B152+C153,MAX(Compare!$B$7,B152*Compare!$B$5+IF(Compare!$B$6="Yes",C153,0))))</f>
        <v>25</v>
      </c>
      <c r="E153" s="15" t="n">
        <f aca="false">MAX(0,E152+F153-G153)</f>
        <v>0</v>
      </c>
      <c r="F153" s="15" t="n">
        <f aca="false">IF(E152&lt;=0.005,0,E152*Compare!$B$4/12)</f>
        <v>0</v>
      </c>
      <c r="G153" s="15" t="n">
        <f aca="false">IF(E152&lt;=0.005,0,MIN(E152+F153,Compare!$B$9))</f>
        <v>0</v>
      </c>
      <c r="H153" s="15" t="n">
        <f aca="false">MAX(0,H152+I153-J153)</f>
        <v>0</v>
      </c>
      <c r="I153" s="15" t="n">
        <f aca="false">IF(H152&lt;=0.005,0,H152*Compare!$B$4/12)</f>
        <v>0</v>
      </c>
      <c r="J153" s="15" t="n">
        <f aca="false">IF(H152&lt;=0.005,0,MIN(H152+I153,Compare!$B$9+Compare!$B$8))</f>
        <v>0</v>
      </c>
    </row>
    <row r="154" customFormat="false" ht="15" hidden="false" customHeight="false" outlineLevel="0" collapsed="false">
      <c r="A154" s="3" t="n">
        <v>151</v>
      </c>
      <c r="B154" s="15" t="n">
        <f aca="false">MAX(0,B153+C154-D154)</f>
        <v>545.007768798606</v>
      </c>
      <c r="C154" s="15" t="n">
        <f aca="false">IF(B153&lt;=0.005,0,B153*Compare!$B$4/12)</f>
        <v>10.2620056575854</v>
      </c>
      <c r="D154" s="15" t="n">
        <f aca="false">IF(B153&lt;=0.005,0,MIN(B153+C154,MAX(Compare!$B$7,B153*Compare!$B$5+IF(Compare!$B$6="Yes",C154,0))))</f>
        <v>25</v>
      </c>
      <c r="E154" s="15" t="n">
        <f aca="false">MAX(0,E153+F154-G154)</f>
        <v>0</v>
      </c>
      <c r="F154" s="15" t="n">
        <f aca="false">IF(E153&lt;=0.005,0,E153*Compare!$B$4/12)</f>
        <v>0</v>
      </c>
      <c r="G154" s="15" t="n">
        <f aca="false">IF(E153&lt;=0.005,0,MIN(E153+F154,Compare!$B$9))</f>
        <v>0</v>
      </c>
      <c r="H154" s="15" t="n">
        <f aca="false">MAX(0,H153+I154-J154)</f>
        <v>0</v>
      </c>
      <c r="I154" s="15" t="n">
        <f aca="false">IF(H153&lt;=0.005,0,H153*Compare!$B$4/12)</f>
        <v>0</v>
      </c>
      <c r="J154" s="15" t="n">
        <f aca="false">IF(H153&lt;=0.005,0,MIN(H153+I154,Compare!$B$9+Compare!$B$8))</f>
        <v>0</v>
      </c>
    </row>
    <row r="155" customFormat="false" ht="15" hidden="false" customHeight="false" outlineLevel="0" collapsed="false">
      <c r="A155" s="3" t="n">
        <v>152</v>
      </c>
      <c r="B155" s="15" t="n">
        <f aca="false">MAX(0,B154+C155-D155)</f>
        <v>529.999577893247</v>
      </c>
      <c r="C155" s="15" t="n">
        <f aca="false">IF(B154&lt;=0.005,0,B154*Compare!$B$4/12)</f>
        <v>9.99180909464111</v>
      </c>
      <c r="D155" s="15" t="n">
        <f aca="false">IF(B154&lt;=0.005,0,MIN(B154+C155,MAX(Compare!$B$7,B154*Compare!$B$5+IF(Compare!$B$6="Yes",C155,0))))</f>
        <v>25</v>
      </c>
      <c r="E155" s="15" t="n">
        <f aca="false">MAX(0,E154+F155-G155)</f>
        <v>0</v>
      </c>
      <c r="F155" s="15" t="n">
        <f aca="false">IF(E154&lt;=0.005,0,E154*Compare!$B$4/12)</f>
        <v>0</v>
      </c>
      <c r="G155" s="15" t="n">
        <f aca="false">IF(E154&lt;=0.005,0,MIN(E154+F155,Compare!$B$9))</f>
        <v>0</v>
      </c>
      <c r="H155" s="15" t="n">
        <f aca="false">MAX(0,H154+I155-J155)</f>
        <v>0</v>
      </c>
      <c r="I155" s="15" t="n">
        <f aca="false">IF(H154&lt;=0.005,0,H154*Compare!$B$4/12)</f>
        <v>0</v>
      </c>
      <c r="J155" s="15" t="n">
        <f aca="false">IF(H154&lt;=0.005,0,MIN(H154+I155,Compare!$B$9+Compare!$B$8))</f>
        <v>0</v>
      </c>
    </row>
    <row r="156" customFormat="false" ht="15" hidden="false" customHeight="false" outlineLevel="0" collapsed="false">
      <c r="A156" s="3" t="n">
        <v>153</v>
      </c>
      <c r="B156" s="15" t="n">
        <f aca="false">MAX(0,B155+C156-D156)</f>
        <v>514.71623682129</v>
      </c>
      <c r="C156" s="15" t="n">
        <f aca="false">IF(B155&lt;=0.005,0,B155*Compare!$B$4/12)</f>
        <v>9.71665892804287</v>
      </c>
      <c r="D156" s="15" t="n">
        <f aca="false">IF(B155&lt;=0.005,0,MIN(B155+C156,MAX(Compare!$B$7,B155*Compare!$B$5+IF(Compare!$B$6="Yes",C156,0))))</f>
        <v>25</v>
      </c>
      <c r="E156" s="15" t="n">
        <f aca="false">MAX(0,E155+F156-G156)</f>
        <v>0</v>
      </c>
      <c r="F156" s="15" t="n">
        <f aca="false">IF(E155&lt;=0.005,0,E155*Compare!$B$4/12)</f>
        <v>0</v>
      </c>
      <c r="G156" s="15" t="n">
        <f aca="false">IF(E155&lt;=0.005,0,MIN(E155+F156,Compare!$B$9))</f>
        <v>0</v>
      </c>
      <c r="H156" s="15" t="n">
        <f aca="false">MAX(0,H155+I156-J156)</f>
        <v>0</v>
      </c>
      <c r="I156" s="15" t="n">
        <f aca="false">IF(H155&lt;=0.005,0,H155*Compare!$B$4/12)</f>
        <v>0</v>
      </c>
      <c r="J156" s="15" t="n">
        <f aca="false">IF(H155&lt;=0.005,0,MIN(H155+I156,Compare!$B$9+Compare!$B$8))</f>
        <v>0</v>
      </c>
    </row>
    <row r="157" customFormat="false" ht="15" hidden="false" customHeight="false" outlineLevel="0" collapsed="false">
      <c r="A157" s="3" t="n">
        <v>154</v>
      </c>
      <c r="B157" s="15" t="n">
        <f aca="false">MAX(0,B156+C157-D157)</f>
        <v>499.152701163014</v>
      </c>
      <c r="C157" s="15" t="n">
        <f aca="false">IF(B156&lt;=0.005,0,B156*Compare!$B$4/12)</f>
        <v>9.43646434172365</v>
      </c>
      <c r="D157" s="15" t="n">
        <f aca="false">IF(B156&lt;=0.005,0,MIN(B156+C157,MAX(Compare!$B$7,B156*Compare!$B$5+IF(Compare!$B$6="Yes",C157,0))))</f>
        <v>25</v>
      </c>
      <c r="E157" s="15" t="n">
        <f aca="false">MAX(0,E156+F157-G157)</f>
        <v>0</v>
      </c>
      <c r="F157" s="15" t="n">
        <f aca="false">IF(E156&lt;=0.005,0,E156*Compare!$B$4/12)</f>
        <v>0</v>
      </c>
      <c r="G157" s="15" t="n">
        <f aca="false">IF(E156&lt;=0.005,0,MIN(E156+F157,Compare!$B$9))</f>
        <v>0</v>
      </c>
      <c r="H157" s="15" t="n">
        <f aca="false">MAX(0,H156+I157-J157)</f>
        <v>0</v>
      </c>
      <c r="I157" s="15" t="n">
        <f aca="false">IF(H156&lt;=0.005,0,H156*Compare!$B$4/12)</f>
        <v>0</v>
      </c>
      <c r="J157" s="15" t="n">
        <f aca="false">IF(H156&lt;=0.005,0,MIN(H156+I157,Compare!$B$9+Compare!$B$8))</f>
        <v>0</v>
      </c>
    </row>
    <row r="158" customFormat="false" ht="15" hidden="false" customHeight="false" outlineLevel="0" collapsed="false">
      <c r="A158" s="3" t="n">
        <v>155</v>
      </c>
      <c r="B158" s="15" t="n">
        <f aca="false">MAX(0,B157+C158-D158)</f>
        <v>483.303834017669</v>
      </c>
      <c r="C158" s="15" t="n">
        <f aca="false">IF(B157&lt;=0.005,0,B157*Compare!$B$4/12)</f>
        <v>9.15113285465525</v>
      </c>
      <c r="D158" s="15" t="n">
        <f aca="false">IF(B157&lt;=0.005,0,MIN(B157+C158,MAX(Compare!$B$7,B157*Compare!$B$5+IF(Compare!$B$6="Yes",C158,0))))</f>
        <v>25</v>
      </c>
      <c r="E158" s="15" t="n">
        <f aca="false">MAX(0,E157+F158-G158)</f>
        <v>0</v>
      </c>
      <c r="F158" s="15" t="n">
        <f aca="false">IF(E157&lt;=0.005,0,E157*Compare!$B$4/12)</f>
        <v>0</v>
      </c>
      <c r="G158" s="15" t="n">
        <f aca="false">IF(E157&lt;=0.005,0,MIN(E157+F158,Compare!$B$9))</f>
        <v>0</v>
      </c>
      <c r="H158" s="15" t="n">
        <f aca="false">MAX(0,H157+I158-J158)</f>
        <v>0</v>
      </c>
      <c r="I158" s="15" t="n">
        <f aca="false">IF(H157&lt;=0.005,0,H157*Compare!$B$4/12)</f>
        <v>0</v>
      </c>
      <c r="J158" s="15" t="n">
        <f aca="false">IF(H157&lt;=0.005,0,MIN(H157+I158,Compare!$B$9+Compare!$B$8))</f>
        <v>0</v>
      </c>
    </row>
    <row r="159" customFormat="false" ht="15" hidden="false" customHeight="false" outlineLevel="0" collapsed="false">
      <c r="A159" s="3" t="n">
        <v>156</v>
      </c>
      <c r="B159" s="15" t="n">
        <f aca="false">MAX(0,B158+C159-D159)</f>
        <v>467.164404307993</v>
      </c>
      <c r="C159" s="15" t="n">
        <f aca="false">IF(B158&lt;=0.005,0,B158*Compare!$B$4/12)</f>
        <v>8.86057029032393</v>
      </c>
      <c r="D159" s="15" t="n">
        <f aca="false">IF(B158&lt;=0.005,0,MIN(B158+C159,MAX(Compare!$B$7,B158*Compare!$B$5+IF(Compare!$B$6="Yes",C159,0))))</f>
        <v>25</v>
      </c>
      <c r="E159" s="15" t="n">
        <f aca="false">MAX(0,E158+F159-G159)</f>
        <v>0</v>
      </c>
      <c r="F159" s="15" t="n">
        <f aca="false">IF(E158&lt;=0.005,0,E158*Compare!$B$4/12)</f>
        <v>0</v>
      </c>
      <c r="G159" s="15" t="n">
        <f aca="false">IF(E158&lt;=0.005,0,MIN(E158+F159,Compare!$B$9))</f>
        <v>0</v>
      </c>
      <c r="H159" s="15" t="n">
        <f aca="false">MAX(0,H158+I159-J159)</f>
        <v>0</v>
      </c>
      <c r="I159" s="15" t="n">
        <f aca="false">IF(H158&lt;=0.005,0,H158*Compare!$B$4/12)</f>
        <v>0</v>
      </c>
      <c r="J159" s="15" t="n">
        <f aca="false">IF(H158&lt;=0.005,0,MIN(H158+I159,Compare!$B$9+Compare!$B$8))</f>
        <v>0</v>
      </c>
    </row>
    <row r="160" customFormat="false" ht="15" hidden="false" customHeight="false" outlineLevel="0" collapsed="false">
      <c r="A160" s="3" t="n">
        <v>157</v>
      </c>
      <c r="B160" s="15" t="n">
        <f aca="false">MAX(0,B159+C160-D160)</f>
        <v>450.72908505364</v>
      </c>
      <c r="C160" s="15" t="n">
        <f aca="false">IF(B159&lt;=0.005,0,B159*Compare!$B$4/12)</f>
        <v>8.56468074564654</v>
      </c>
      <c r="D160" s="15" t="n">
        <f aca="false">IF(B159&lt;=0.005,0,MIN(B159+C160,MAX(Compare!$B$7,B159*Compare!$B$5+IF(Compare!$B$6="Yes",C160,0))))</f>
        <v>25</v>
      </c>
      <c r="E160" s="15" t="n">
        <f aca="false">MAX(0,E159+F160-G160)</f>
        <v>0</v>
      </c>
      <c r="F160" s="15" t="n">
        <f aca="false">IF(E159&lt;=0.005,0,E159*Compare!$B$4/12)</f>
        <v>0</v>
      </c>
      <c r="G160" s="15" t="n">
        <f aca="false">IF(E159&lt;=0.005,0,MIN(E159+F160,Compare!$B$9))</f>
        <v>0</v>
      </c>
      <c r="H160" s="15" t="n">
        <f aca="false">MAX(0,H159+I160-J160)</f>
        <v>0</v>
      </c>
      <c r="I160" s="15" t="n">
        <f aca="false">IF(H159&lt;=0.005,0,H159*Compare!$B$4/12)</f>
        <v>0</v>
      </c>
      <c r="J160" s="15" t="n">
        <f aca="false">IF(H159&lt;=0.005,0,MIN(H159+I160,Compare!$B$9+Compare!$B$8))</f>
        <v>0</v>
      </c>
    </row>
    <row r="161" customFormat="false" ht="15" hidden="false" customHeight="false" outlineLevel="0" collapsed="false">
      <c r="A161" s="3" t="n">
        <v>158</v>
      </c>
      <c r="B161" s="15" t="n">
        <f aca="false">MAX(0,B160+C161-D161)</f>
        <v>433.992451612956</v>
      </c>
      <c r="C161" s="15" t="n">
        <f aca="false">IF(B160&lt;=0.005,0,B160*Compare!$B$4/12)</f>
        <v>8.26336655931672</v>
      </c>
      <c r="D161" s="15" t="n">
        <f aca="false">IF(B160&lt;=0.005,0,MIN(B160+C161,MAX(Compare!$B$7,B160*Compare!$B$5+IF(Compare!$B$6="Yes",C161,0))))</f>
        <v>25</v>
      </c>
      <c r="E161" s="15" t="n">
        <f aca="false">MAX(0,E160+F161-G161)</f>
        <v>0</v>
      </c>
      <c r="F161" s="15" t="n">
        <f aca="false">IF(E160&lt;=0.005,0,E160*Compare!$B$4/12)</f>
        <v>0</v>
      </c>
      <c r="G161" s="15" t="n">
        <f aca="false">IF(E160&lt;=0.005,0,MIN(E160+F161,Compare!$B$9))</f>
        <v>0</v>
      </c>
      <c r="H161" s="15" t="n">
        <f aca="false">MAX(0,H160+I161-J161)</f>
        <v>0</v>
      </c>
      <c r="I161" s="15" t="n">
        <f aca="false">IF(H160&lt;=0.005,0,H160*Compare!$B$4/12)</f>
        <v>0</v>
      </c>
      <c r="J161" s="15" t="n">
        <f aca="false">IF(H160&lt;=0.005,0,MIN(H160+I161,Compare!$B$9+Compare!$B$8))</f>
        <v>0</v>
      </c>
    </row>
    <row r="162" customFormat="false" ht="15" hidden="false" customHeight="false" outlineLevel="0" collapsed="false">
      <c r="A162" s="3" t="n">
        <v>159</v>
      </c>
      <c r="B162" s="15" t="n">
        <f aca="false">MAX(0,B161+C162-D162)</f>
        <v>416.948979892527</v>
      </c>
      <c r="C162" s="15" t="n">
        <f aca="false">IF(B161&lt;=0.005,0,B161*Compare!$B$4/12)</f>
        <v>7.95652827957087</v>
      </c>
      <c r="D162" s="15" t="n">
        <f aca="false">IF(B161&lt;=0.005,0,MIN(B161+C162,MAX(Compare!$B$7,B161*Compare!$B$5+IF(Compare!$B$6="Yes",C162,0))))</f>
        <v>25</v>
      </c>
      <c r="E162" s="15" t="n">
        <f aca="false">MAX(0,E161+F162-G162)</f>
        <v>0</v>
      </c>
      <c r="F162" s="15" t="n">
        <f aca="false">IF(E161&lt;=0.005,0,E161*Compare!$B$4/12)</f>
        <v>0</v>
      </c>
      <c r="G162" s="15" t="n">
        <f aca="false">IF(E161&lt;=0.005,0,MIN(E161+F162,Compare!$B$9))</f>
        <v>0</v>
      </c>
      <c r="H162" s="15" t="n">
        <f aca="false">MAX(0,H161+I162-J162)</f>
        <v>0</v>
      </c>
      <c r="I162" s="15" t="n">
        <f aca="false">IF(H161&lt;=0.005,0,H161*Compare!$B$4/12)</f>
        <v>0</v>
      </c>
      <c r="J162" s="15" t="n">
        <f aca="false">IF(H161&lt;=0.005,0,MIN(H161+I162,Compare!$B$9+Compare!$B$8))</f>
        <v>0</v>
      </c>
    </row>
    <row r="163" customFormat="false" ht="15" hidden="false" customHeight="false" outlineLevel="0" collapsed="false">
      <c r="A163" s="3" t="n">
        <v>160</v>
      </c>
      <c r="B163" s="15" t="n">
        <f aca="false">MAX(0,B162+C163-D163)</f>
        <v>399.59304452389</v>
      </c>
      <c r="C163" s="15" t="n">
        <f aca="false">IF(B162&lt;=0.005,0,B162*Compare!$B$4/12)</f>
        <v>7.644064631363</v>
      </c>
      <c r="D163" s="15" t="n">
        <f aca="false">IF(B162&lt;=0.005,0,MIN(B162+C163,MAX(Compare!$B$7,B162*Compare!$B$5+IF(Compare!$B$6="Yes",C163,0))))</f>
        <v>25</v>
      </c>
      <c r="E163" s="15" t="n">
        <f aca="false">MAX(0,E162+F163-G163)</f>
        <v>0</v>
      </c>
      <c r="F163" s="15" t="n">
        <f aca="false">IF(E162&lt;=0.005,0,E162*Compare!$B$4/12)</f>
        <v>0</v>
      </c>
      <c r="G163" s="15" t="n">
        <f aca="false">IF(E162&lt;=0.005,0,MIN(E162+F163,Compare!$B$9))</f>
        <v>0</v>
      </c>
      <c r="H163" s="15" t="n">
        <f aca="false">MAX(0,H162+I163-J163)</f>
        <v>0</v>
      </c>
      <c r="I163" s="15" t="n">
        <f aca="false">IF(H162&lt;=0.005,0,H162*Compare!$B$4/12)</f>
        <v>0</v>
      </c>
      <c r="J163" s="15" t="n">
        <f aca="false">IF(H162&lt;=0.005,0,MIN(H162+I163,Compare!$B$9+Compare!$B$8))</f>
        <v>0</v>
      </c>
    </row>
    <row r="164" customFormat="false" ht="15" hidden="false" customHeight="false" outlineLevel="0" collapsed="false">
      <c r="A164" s="3" t="n">
        <v>161</v>
      </c>
      <c r="B164" s="15" t="n">
        <f aca="false">MAX(0,B163+C164-D164)</f>
        <v>381.918917006828</v>
      </c>
      <c r="C164" s="15" t="n">
        <f aca="false">IF(B163&lt;=0.005,0,B163*Compare!$B$4/12)</f>
        <v>7.32587248293799</v>
      </c>
      <c r="D164" s="15" t="n">
        <f aca="false">IF(B163&lt;=0.005,0,MIN(B163+C164,MAX(Compare!$B$7,B163*Compare!$B$5+IF(Compare!$B$6="Yes",C164,0))))</f>
        <v>25</v>
      </c>
      <c r="E164" s="15" t="n">
        <f aca="false">MAX(0,E163+F164-G164)</f>
        <v>0</v>
      </c>
      <c r="F164" s="15" t="n">
        <f aca="false">IF(E163&lt;=0.005,0,E163*Compare!$B$4/12)</f>
        <v>0</v>
      </c>
      <c r="G164" s="15" t="n">
        <f aca="false">IF(E163&lt;=0.005,0,MIN(E163+F164,Compare!$B$9))</f>
        <v>0</v>
      </c>
      <c r="H164" s="15" t="n">
        <f aca="false">MAX(0,H163+I164-J164)</f>
        <v>0</v>
      </c>
      <c r="I164" s="15" t="n">
        <f aca="false">IF(H163&lt;=0.005,0,H163*Compare!$B$4/12)</f>
        <v>0</v>
      </c>
      <c r="J164" s="15" t="n">
        <f aca="false">IF(H163&lt;=0.005,0,MIN(H163+I164,Compare!$B$9+Compare!$B$8))</f>
        <v>0</v>
      </c>
    </row>
    <row r="165" customFormat="false" ht="15" hidden="false" customHeight="false" outlineLevel="0" collapsed="false">
      <c r="A165" s="3" t="n">
        <v>162</v>
      </c>
      <c r="B165" s="15" t="n">
        <f aca="false">MAX(0,B164+C165-D165)</f>
        <v>363.92076381862</v>
      </c>
      <c r="C165" s="15" t="n">
        <f aca="false">IF(B164&lt;=0.005,0,B164*Compare!$B$4/12)</f>
        <v>7.00184681179185</v>
      </c>
      <c r="D165" s="15" t="n">
        <f aca="false">IF(B164&lt;=0.005,0,MIN(B164+C165,MAX(Compare!$B$7,B164*Compare!$B$5+IF(Compare!$B$6="Yes",C165,0))))</f>
        <v>25</v>
      </c>
      <c r="E165" s="15" t="n">
        <f aca="false">MAX(0,E164+F165-G165)</f>
        <v>0</v>
      </c>
      <c r="F165" s="15" t="n">
        <f aca="false">IF(E164&lt;=0.005,0,E164*Compare!$B$4/12)</f>
        <v>0</v>
      </c>
      <c r="G165" s="15" t="n">
        <f aca="false">IF(E164&lt;=0.005,0,MIN(E164+F165,Compare!$B$9))</f>
        <v>0</v>
      </c>
      <c r="H165" s="15" t="n">
        <f aca="false">MAX(0,H164+I165-J165)</f>
        <v>0</v>
      </c>
      <c r="I165" s="15" t="n">
        <f aca="false">IF(H164&lt;=0.005,0,H164*Compare!$B$4/12)</f>
        <v>0</v>
      </c>
      <c r="J165" s="15" t="n">
        <f aca="false">IF(H164&lt;=0.005,0,MIN(H164+I165,Compare!$B$9+Compare!$B$8))</f>
        <v>0</v>
      </c>
    </row>
    <row r="166" customFormat="false" ht="15" hidden="false" customHeight="false" outlineLevel="0" collapsed="false">
      <c r="A166" s="3" t="n">
        <v>163</v>
      </c>
      <c r="B166" s="15" t="n">
        <f aca="false">MAX(0,B165+C166-D166)</f>
        <v>345.592644488628</v>
      </c>
      <c r="C166" s="15" t="n">
        <f aca="false">IF(B165&lt;=0.005,0,B165*Compare!$B$4/12)</f>
        <v>6.67188067000803</v>
      </c>
      <c r="D166" s="15" t="n">
        <f aca="false">IF(B165&lt;=0.005,0,MIN(B165+C166,MAX(Compare!$B$7,B165*Compare!$B$5+IF(Compare!$B$6="Yes",C166,0))))</f>
        <v>25</v>
      </c>
      <c r="E166" s="15" t="n">
        <f aca="false">MAX(0,E165+F166-G166)</f>
        <v>0</v>
      </c>
      <c r="F166" s="15" t="n">
        <f aca="false">IF(E165&lt;=0.005,0,E165*Compare!$B$4/12)</f>
        <v>0</v>
      </c>
      <c r="G166" s="15" t="n">
        <f aca="false">IF(E165&lt;=0.005,0,MIN(E165+F166,Compare!$B$9))</f>
        <v>0</v>
      </c>
      <c r="H166" s="15" t="n">
        <f aca="false">MAX(0,H165+I166-J166)</f>
        <v>0</v>
      </c>
      <c r="I166" s="15" t="n">
        <f aca="false">IF(H165&lt;=0.005,0,H165*Compare!$B$4/12)</f>
        <v>0</v>
      </c>
      <c r="J166" s="15" t="n">
        <f aca="false">IF(H165&lt;=0.005,0,MIN(H165+I166,Compare!$B$9+Compare!$B$8))</f>
        <v>0</v>
      </c>
    </row>
    <row r="167" customFormat="false" ht="15" hidden="false" customHeight="false" outlineLevel="0" collapsed="false">
      <c r="A167" s="3" t="n">
        <v>164</v>
      </c>
      <c r="B167" s="15" t="n">
        <f aca="false">MAX(0,B166+C167-D167)</f>
        <v>326.928509637586</v>
      </c>
      <c r="C167" s="15" t="n">
        <f aca="false">IF(B166&lt;=0.005,0,B166*Compare!$B$4/12)</f>
        <v>6.33586514895818</v>
      </c>
      <c r="D167" s="15" t="n">
        <f aca="false">IF(B166&lt;=0.005,0,MIN(B166+C167,MAX(Compare!$B$7,B166*Compare!$B$5+IF(Compare!$B$6="Yes",C167,0))))</f>
        <v>25</v>
      </c>
      <c r="E167" s="15" t="n">
        <f aca="false">MAX(0,E166+F167-G167)</f>
        <v>0</v>
      </c>
      <c r="F167" s="15" t="n">
        <f aca="false">IF(E166&lt;=0.005,0,E166*Compare!$B$4/12)</f>
        <v>0</v>
      </c>
      <c r="G167" s="15" t="n">
        <f aca="false">IF(E166&lt;=0.005,0,MIN(E166+F167,Compare!$B$9))</f>
        <v>0</v>
      </c>
      <c r="H167" s="15" t="n">
        <f aca="false">MAX(0,H166+I167-J167)</f>
        <v>0</v>
      </c>
      <c r="I167" s="15" t="n">
        <f aca="false">IF(H166&lt;=0.005,0,H166*Compare!$B$4/12)</f>
        <v>0</v>
      </c>
      <c r="J167" s="15" t="n">
        <f aca="false">IF(H166&lt;=0.005,0,MIN(H166+I167,Compare!$B$9+Compare!$B$8))</f>
        <v>0</v>
      </c>
    </row>
    <row r="168" customFormat="false" ht="15" hidden="false" customHeight="false" outlineLevel="0" collapsed="false">
      <c r="A168" s="3" t="n">
        <v>165</v>
      </c>
      <c r="B168" s="15" t="n">
        <f aca="false">MAX(0,B167+C168-D168)</f>
        <v>307.922198980942</v>
      </c>
      <c r="C168" s="15" t="n">
        <f aca="false">IF(B167&lt;=0.005,0,B167*Compare!$B$4/12)</f>
        <v>5.99368934335575</v>
      </c>
      <c r="D168" s="15" t="n">
        <f aca="false">IF(B167&lt;=0.005,0,MIN(B167+C168,MAX(Compare!$B$7,B167*Compare!$B$5+IF(Compare!$B$6="Yes",C168,0))))</f>
        <v>25</v>
      </c>
      <c r="E168" s="15" t="n">
        <f aca="false">MAX(0,E167+F168-G168)</f>
        <v>0</v>
      </c>
      <c r="F168" s="15" t="n">
        <f aca="false">IF(E167&lt;=0.005,0,E167*Compare!$B$4/12)</f>
        <v>0</v>
      </c>
      <c r="G168" s="15" t="n">
        <f aca="false">IF(E167&lt;=0.005,0,MIN(E167+F168,Compare!$B$9))</f>
        <v>0</v>
      </c>
      <c r="H168" s="15" t="n">
        <f aca="false">MAX(0,H167+I168-J168)</f>
        <v>0</v>
      </c>
      <c r="I168" s="15" t="n">
        <f aca="false">IF(H167&lt;=0.005,0,H167*Compare!$B$4/12)</f>
        <v>0</v>
      </c>
      <c r="J168" s="15" t="n">
        <f aca="false">IF(H167&lt;=0.005,0,MIN(H167+I168,Compare!$B$9+Compare!$B$8))</f>
        <v>0</v>
      </c>
    </row>
    <row r="169" customFormat="false" ht="15" hidden="false" customHeight="false" outlineLevel="0" collapsed="false">
      <c r="A169" s="3" t="n">
        <v>166</v>
      </c>
      <c r="B169" s="15" t="n">
        <f aca="false">MAX(0,B168+C169-D169)</f>
        <v>288.567439295593</v>
      </c>
      <c r="C169" s="15" t="n">
        <f aca="false">IF(B168&lt;=0.005,0,B168*Compare!$B$4/12)</f>
        <v>5.6452403146506</v>
      </c>
      <c r="D169" s="15" t="n">
        <f aca="false">IF(B168&lt;=0.005,0,MIN(B168+C169,MAX(Compare!$B$7,B168*Compare!$B$5+IF(Compare!$B$6="Yes",C169,0))))</f>
        <v>25</v>
      </c>
      <c r="E169" s="15" t="n">
        <f aca="false">MAX(0,E168+F169-G169)</f>
        <v>0</v>
      </c>
      <c r="F169" s="15" t="n">
        <f aca="false">IF(E168&lt;=0.005,0,E168*Compare!$B$4/12)</f>
        <v>0</v>
      </c>
      <c r="G169" s="15" t="n">
        <f aca="false">IF(E168&lt;=0.005,0,MIN(E168+F169,Compare!$B$9))</f>
        <v>0</v>
      </c>
      <c r="H169" s="15" t="n">
        <f aca="false">MAX(0,H168+I169-J169)</f>
        <v>0</v>
      </c>
      <c r="I169" s="15" t="n">
        <f aca="false">IF(H168&lt;=0.005,0,H168*Compare!$B$4/12)</f>
        <v>0</v>
      </c>
      <c r="J169" s="15" t="n">
        <f aca="false">IF(H168&lt;=0.005,0,MIN(H168+I169,Compare!$B$9+Compare!$B$8))</f>
        <v>0</v>
      </c>
    </row>
    <row r="170" customFormat="false" ht="15" hidden="false" customHeight="false" outlineLevel="0" collapsed="false">
      <c r="A170" s="3" t="n">
        <v>167</v>
      </c>
      <c r="B170" s="15" t="n">
        <f aca="false">MAX(0,B169+C170-D170)</f>
        <v>268.857842349345</v>
      </c>
      <c r="C170" s="15" t="n">
        <f aca="false">IF(B169&lt;=0.005,0,B169*Compare!$B$4/12)</f>
        <v>5.29040305375253</v>
      </c>
      <c r="D170" s="15" t="n">
        <f aca="false">IF(B169&lt;=0.005,0,MIN(B169+C170,MAX(Compare!$B$7,B169*Compare!$B$5+IF(Compare!$B$6="Yes",C170,0))))</f>
        <v>25</v>
      </c>
      <c r="E170" s="15" t="n">
        <f aca="false">MAX(0,E169+F170-G170)</f>
        <v>0</v>
      </c>
      <c r="F170" s="15" t="n">
        <f aca="false">IF(E169&lt;=0.005,0,E169*Compare!$B$4/12)</f>
        <v>0</v>
      </c>
      <c r="G170" s="15" t="n">
        <f aca="false">IF(E169&lt;=0.005,0,MIN(E169+F170,Compare!$B$9))</f>
        <v>0</v>
      </c>
      <c r="H170" s="15" t="n">
        <f aca="false">MAX(0,H169+I170-J170)</f>
        <v>0</v>
      </c>
      <c r="I170" s="15" t="n">
        <f aca="false">IF(H169&lt;=0.005,0,H169*Compare!$B$4/12)</f>
        <v>0</v>
      </c>
      <c r="J170" s="15" t="n">
        <f aca="false">IF(H169&lt;=0.005,0,MIN(H169+I170,Compare!$B$9+Compare!$B$8))</f>
        <v>0</v>
      </c>
    </row>
    <row r="171" customFormat="false" ht="15" hidden="false" customHeight="false" outlineLevel="0" collapsed="false">
      <c r="A171" s="3" t="n">
        <v>168</v>
      </c>
      <c r="B171" s="15" t="n">
        <f aca="false">MAX(0,B170+C171-D171)</f>
        <v>248.786902792416</v>
      </c>
      <c r="C171" s="15" t="n">
        <f aca="false">IF(B170&lt;=0.005,0,B170*Compare!$B$4/12)</f>
        <v>4.92906044307133</v>
      </c>
      <c r="D171" s="15" t="n">
        <f aca="false">IF(B170&lt;=0.005,0,MIN(B170+C171,MAX(Compare!$B$7,B170*Compare!$B$5+IF(Compare!$B$6="Yes",C171,0))))</f>
        <v>25</v>
      </c>
      <c r="E171" s="15" t="n">
        <f aca="false">MAX(0,E170+F171-G171)</f>
        <v>0</v>
      </c>
      <c r="F171" s="15" t="n">
        <f aca="false">IF(E170&lt;=0.005,0,E170*Compare!$B$4/12)</f>
        <v>0</v>
      </c>
      <c r="G171" s="15" t="n">
        <f aca="false">IF(E170&lt;=0.005,0,MIN(E170+F171,Compare!$B$9))</f>
        <v>0</v>
      </c>
      <c r="H171" s="15" t="n">
        <f aca="false">MAX(0,H170+I171-J171)</f>
        <v>0</v>
      </c>
      <c r="I171" s="15" t="n">
        <f aca="false">IF(H170&lt;=0.005,0,H170*Compare!$B$4/12)</f>
        <v>0</v>
      </c>
      <c r="J171" s="15" t="n">
        <f aca="false">IF(H170&lt;=0.005,0,MIN(H170+I171,Compare!$B$9+Compare!$B$8))</f>
        <v>0</v>
      </c>
    </row>
    <row r="172" customFormat="false" ht="15" hidden="false" customHeight="false" outlineLevel="0" collapsed="false">
      <c r="A172" s="3" t="n">
        <v>169</v>
      </c>
      <c r="B172" s="15" t="n">
        <f aca="false">MAX(0,B171+C172-D172)</f>
        <v>228.347996010277</v>
      </c>
      <c r="C172" s="15" t="n">
        <f aca="false">IF(B171&lt;=0.005,0,B171*Compare!$B$4/12)</f>
        <v>4.56109321786097</v>
      </c>
      <c r="D172" s="15" t="n">
        <f aca="false">IF(B171&lt;=0.005,0,MIN(B171+C172,MAX(Compare!$B$7,B171*Compare!$B$5+IF(Compare!$B$6="Yes",C172,0))))</f>
        <v>25</v>
      </c>
      <c r="E172" s="15" t="n">
        <f aca="false">MAX(0,E171+F172-G172)</f>
        <v>0</v>
      </c>
      <c r="F172" s="15" t="n">
        <f aca="false">IF(E171&lt;=0.005,0,E171*Compare!$B$4/12)</f>
        <v>0</v>
      </c>
      <c r="G172" s="15" t="n">
        <f aca="false">IF(E171&lt;=0.005,0,MIN(E171+F172,Compare!$B$9))</f>
        <v>0</v>
      </c>
      <c r="H172" s="15" t="n">
        <f aca="false">MAX(0,H171+I172-J172)</f>
        <v>0</v>
      </c>
      <c r="I172" s="15" t="n">
        <f aca="false">IF(H171&lt;=0.005,0,H171*Compare!$B$4/12)</f>
        <v>0</v>
      </c>
      <c r="J172" s="15" t="n">
        <f aca="false">IF(H171&lt;=0.005,0,MIN(H171+I172,Compare!$B$9+Compare!$B$8))</f>
        <v>0</v>
      </c>
    </row>
    <row r="173" customFormat="false" ht="15" hidden="false" customHeight="false" outlineLevel="0" collapsed="false">
      <c r="A173" s="3" t="n">
        <v>170</v>
      </c>
      <c r="B173" s="15" t="n">
        <f aca="false">MAX(0,B172+C173-D173)</f>
        <v>207.534375937132</v>
      </c>
      <c r="C173" s="15" t="n">
        <f aca="false">IF(B172&lt;=0.005,0,B172*Compare!$B$4/12)</f>
        <v>4.18637992685509</v>
      </c>
      <c r="D173" s="15" t="n">
        <f aca="false">IF(B172&lt;=0.005,0,MIN(B172+C173,MAX(Compare!$B$7,B172*Compare!$B$5+IF(Compare!$B$6="Yes",C173,0))))</f>
        <v>25</v>
      </c>
      <c r="E173" s="15" t="n">
        <f aca="false">MAX(0,E172+F173-G173)</f>
        <v>0</v>
      </c>
      <c r="F173" s="15" t="n">
        <f aca="false">IF(E172&lt;=0.005,0,E172*Compare!$B$4/12)</f>
        <v>0</v>
      </c>
      <c r="G173" s="15" t="n">
        <f aca="false">IF(E172&lt;=0.005,0,MIN(E172+F173,Compare!$B$9))</f>
        <v>0</v>
      </c>
      <c r="H173" s="15" t="n">
        <f aca="false">MAX(0,H172+I173-J173)</f>
        <v>0</v>
      </c>
      <c r="I173" s="15" t="n">
        <f aca="false">IF(H172&lt;=0.005,0,H172*Compare!$B$4/12)</f>
        <v>0</v>
      </c>
      <c r="J173" s="15" t="n">
        <f aca="false">IF(H172&lt;=0.005,0,MIN(H172+I173,Compare!$B$9+Compare!$B$8))</f>
        <v>0</v>
      </c>
    </row>
    <row r="174" customFormat="false" ht="15" hidden="false" customHeight="false" outlineLevel="0" collapsed="false">
      <c r="A174" s="3" t="n">
        <v>171</v>
      </c>
      <c r="B174" s="15" t="n">
        <f aca="false">MAX(0,B173+C174-D174)</f>
        <v>186.339172829313</v>
      </c>
      <c r="C174" s="15" t="n">
        <f aca="false">IF(B173&lt;=0.005,0,B173*Compare!$B$4/12)</f>
        <v>3.80479689218076</v>
      </c>
      <c r="D174" s="15" t="n">
        <f aca="false">IF(B173&lt;=0.005,0,MIN(B173+C174,MAX(Compare!$B$7,B173*Compare!$B$5+IF(Compare!$B$6="Yes",C174,0))))</f>
        <v>25</v>
      </c>
      <c r="E174" s="15" t="n">
        <f aca="false">MAX(0,E173+F174-G174)</f>
        <v>0</v>
      </c>
      <c r="F174" s="15" t="n">
        <f aca="false">IF(E173&lt;=0.005,0,E173*Compare!$B$4/12)</f>
        <v>0</v>
      </c>
      <c r="G174" s="15" t="n">
        <f aca="false">IF(E173&lt;=0.005,0,MIN(E173+F174,Compare!$B$9))</f>
        <v>0</v>
      </c>
      <c r="H174" s="15" t="n">
        <f aca="false">MAX(0,H173+I174-J174)</f>
        <v>0</v>
      </c>
      <c r="I174" s="15" t="n">
        <f aca="false">IF(H173&lt;=0.005,0,H173*Compare!$B$4/12)</f>
        <v>0</v>
      </c>
      <c r="J174" s="15" t="n">
        <f aca="false">IF(H173&lt;=0.005,0,MIN(H173+I174,Compare!$B$9+Compare!$B$8))</f>
        <v>0</v>
      </c>
    </row>
    <row r="175" customFormat="false" ht="15" hidden="false" customHeight="false" outlineLevel="0" collapsed="false">
      <c r="A175" s="3" t="n">
        <v>172</v>
      </c>
      <c r="B175" s="15" t="n">
        <f aca="false">MAX(0,B174+C175-D175)</f>
        <v>164.755390997851</v>
      </c>
      <c r="C175" s="15" t="n">
        <f aca="false">IF(B174&lt;=0.005,0,B174*Compare!$B$4/12)</f>
        <v>3.41621816853741</v>
      </c>
      <c r="D175" s="15" t="n">
        <f aca="false">IF(B174&lt;=0.005,0,MIN(B174+C175,MAX(Compare!$B$7,B174*Compare!$B$5+IF(Compare!$B$6="Yes",C175,0))))</f>
        <v>25</v>
      </c>
      <c r="E175" s="15" t="n">
        <f aca="false">MAX(0,E174+F175-G175)</f>
        <v>0</v>
      </c>
      <c r="F175" s="15" t="n">
        <f aca="false">IF(E174&lt;=0.005,0,E174*Compare!$B$4/12)</f>
        <v>0</v>
      </c>
      <c r="G175" s="15" t="n">
        <f aca="false">IF(E174&lt;=0.005,0,MIN(E174+F175,Compare!$B$9))</f>
        <v>0</v>
      </c>
      <c r="H175" s="15" t="n">
        <f aca="false">MAX(0,H174+I175-J175)</f>
        <v>0</v>
      </c>
      <c r="I175" s="15" t="n">
        <f aca="false">IF(H174&lt;=0.005,0,H174*Compare!$B$4/12)</f>
        <v>0</v>
      </c>
      <c r="J175" s="15" t="n">
        <f aca="false">IF(H174&lt;=0.005,0,MIN(H174+I175,Compare!$B$9+Compare!$B$8))</f>
        <v>0</v>
      </c>
    </row>
    <row r="176" customFormat="false" ht="15" hidden="false" customHeight="false" outlineLevel="0" collapsed="false">
      <c r="A176" s="3" t="n">
        <v>173</v>
      </c>
      <c r="B176" s="15" t="n">
        <f aca="false">MAX(0,B175+C176-D176)</f>
        <v>142.775906499478</v>
      </c>
      <c r="C176" s="15" t="n">
        <f aca="false">IF(B175&lt;=0.005,0,B175*Compare!$B$4/12)</f>
        <v>3.02051550162726</v>
      </c>
      <c r="D176" s="15" t="n">
        <f aca="false">IF(B175&lt;=0.005,0,MIN(B175+C176,MAX(Compare!$B$7,B175*Compare!$B$5+IF(Compare!$B$6="Yes",C176,0))))</f>
        <v>25</v>
      </c>
      <c r="E176" s="15" t="n">
        <f aca="false">MAX(0,E175+F176-G176)</f>
        <v>0</v>
      </c>
      <c r="F176" s="15" t="n">
        <f aca="false">IF(E175&lt;=0.005,0,E175*Compare!$B$4/12)</f>
        <v>0</v>
      </c>
      <c r="G176" s="15" t="n">
        <f aca="false">IF(E175&lt;=0.005,0,MIN(E175+F176,Compare!$B$9))</f>
        <v>0</v>
      </c>
      <c r="H176" s="15" t="n">
        <f aca="false">MAX(0,H175+I176-J176)</f>
        <v>0</v>
      </c>
      <c r="I176" s="15" t="n">
        <f aca="false">IF(H175&lt;=0.005,0,H175*Compare!$B$4/12)</f>
        <v>0</v>
      </c>
      <c r="J176" s="15" t="n">
        <f aca="false">IF(H175&lt;=0.005,0,MIN(H175+I176,Compare!$B$9+Compare!$B$8))</f>
        <v>0</v>
      </c>
    </row>
    <row r="177" customFormat="false" ht="15" hidden="false" customHeight="false" outlineLevel="0" collapsed="false">
      <c r="A177" s="3" t="n">
        <v>174</v>
      </c>
      <c r="B177" s="15" t="n">
        <f aca="false">MAX(0,B176+C177-D177)</f>
        <v>120.393464785302</v>
      </c>
      <c r="C177" s="15" t="n">
        <f aca="false">IF(B176&lt;=0.005,0,B176*Compare!$B$4/12)</f>
        <v>2.61755828582376</v>
      </c>
      <c r="D177" s="15" t="n">
        <f aca="false">IF(B176&lt;=0.005,0,MIN(B176+C177,MAX(Compare!$B$7,B176*Compare!$B$5+IF(Compare!$B$6="Yes",C177,0))))</f>
        <v>25</v>
      </c>
      <c r="E177" s="15" t="n">
        <f aca="false">MAX(0,E176+F177-G177)</f>
        <v>0</v>
      </c>
      <c r="F177" s="15" t="n">
        <f aca="false">IF(E176&lt;=0.005,0,E176*Compare!$B$4/12)</f>
        <v>0</v>
      </c>
      <c r="G177" s="15" t="n">
        <f aca="false">IF(E176&lt;=0.005,0,MIN(E176+F177,Compare!$B$9))</f>
        <v>0</v>
      </c>
      <c r="H177" s="15" t="n">
        <f aca="false">MAX(0,H176+I177-J177)</f>
        <v>0</v>
      </c>
      <c r="I177" s="15" t="n">
        <f aca="false">IF(H176&lt;=0.005,0,H176*Compare!$B$4/12)</f>
        <v>0</v>
      </c>
      <c r="J177" s="15" t="n">
        <f aca="false">IF(H176&lt;=0.005,0,MIN(H176+I177,Compare!$B$9+Compare!$B$8))</f>
        <v>0</v>
      </c>
    </row>
    <row r="178" customFormat="false" ht="15" hidden="false" customHeight="false" outlineLevel="0" collapsed="false">
      <c r="A178" s="3" t="n">
        <v>175</v>
      </c>
      <c r="B178" s="15" t="n">
        <f aca="false">MAX(0,B177+C178-D178)</f>
        <v>97.6006783063655</v>
      </c>
      <c r="C178" s="15" t="n">
        <f aca="false">IF(B177&lt;=0.005,0,B177*Compare!$B$4/12)</f>
        <v>2.20721352106386</v>
      </c>
      <c r="D178" s="15" t="n">
        <f aca="false">IF(B177&lt;=0.005,0,MIN(B177+C178,MAX(Compare!$B$7,B177*Compare!$B$5+IF(Compare!$B$6="Yes",C178,0))))</f>
        <v>25</v>
      </c>
      <c r="E178" s="15" t="n">
        <f aca="false">MAX(0,E177+F178-G178)</f>
        <v>0</v>
      </c>
      <c r="F178" s="15" t="n">
        <f aca="false">IF(E177&lt;=0.005,0,E177*Compare!$B$4/12)</f>
        <v>0</v>
      </c>
      <c r="G178" s="15" t="n">
        <f aca="false">IF(E177&lt;=0.005,0,MIN(E177+F178,Compare!$B$9))</f>
        <v>0</v>
      </c>
      <c r="H178" s="15" t="n">
        <f aca="false">MAX(0,H177+I178-J178)</f>
        <v>0</v>
      </c>
      <c r="I178" s="15" t="n">
        <f aca="false">IF(H177&lt;=0.005,0,H177*Compare!$B$4/12)</f>
        <v>0</v>
      </c>
      <c r="J178" s="15" t="n">
        <f aca="false">IF(H177&lt;=0.005,0,MIN(H177+I178,Compare!$B$9+Compare!$B$8))</f>
        <v>0</v>
      </c>
    </row>
    <row r="179" customFormat="false" ht="15" hidden="false" customHeight="false" outlineLevel="0" collapsed="false">
      <c r="A179" s="3" t="n">
        <v>176</v>
      </c>
      <c r="B179" s="15" t="n">
        <f aca="false">MAX(0,B178+C179-D179)</f>
        <v>74.3900240753156</v>
      </c>
      <c r="C179" s="15" t="n">
        <f aca="false">IF(B178&lt;=0.005,0,B178*Compare!$B$4/12)</f>
        <v>1.78934576895003</v>
      </c>
      <c r="D179" s="15" t="n">
        <f aca="false">IF(B178&lt;=0.005,0,MIN(B178+C179,MAX(Compare!$B$7,B178*Compare!$B$5+IF(Compare!$B$6="Yes",C179,0))))</f>
        <v>25</v>
      </c>
      <c r="E179" s="15" t="n">
        <f aca="false">MAX(0,E178+F179-G179)</f>
        <v>0</v>
      </c>
      <c r="F179" s="15" t="n">
        <f aca="false">IF(E178&lt;=0.005,0,E178*Compare!$B$4/12)</f>
        <v>0</v>
      </c>
      <c r="G179" s="15" t="n">
        <f aca="false">IF(E178&lt;=0.005,0,MIN(E178+F179,Compare!$B$9))</f>
        <v>0</v>
      </c>
      <c r="H179" s="15" t="n">
        <f aca="false">MAX(0,H178+I179-J179)</f>
        <v>0</v>
      </c>
      <c r="I179" s="15" t="n">
        <f aca="false">IF(H178&lt;=0.005,0,H178*Compare!$B$4/12)</f>
        <v>0</v>
      </c>
      <c r="J179" s="15" t="n">
        <f aca="false">IF(H178&lt;=0.005,0,MIN(H178+I179,Compare!$B$9+Compare!$B$8))</f>
        <v>0</v>
      </c>
    </row>
    <row r="180" customFormat="false" ht="15" hidden="false" customHeight="false" outlineLevel="0" collapsed="false">
      <c r="A180" s="3" t="n">
        <v>177</v>
      </c>
      <c r="B180" s="15" t="n">
        <f aca="false">MAX(0,B179+C180-D180)</f>
        <v>50.753841183363</v>
      </c>
      <c r="C180" s="15" t="n">
        <f aca="false">IF(B179&lt;=0.005,0,B179*Compare!$B$4/12)</f>
        <v>1.36381710804745</v>
      </c>
      <c r="D180" s="15" t="n">
        <f aca="false">IF(B179&lt;=0.005,0,MIN(B179+C180,MAX(Compare!$B$7,B179*Compare!$B$5+IF(Compare!$B$6="Yes",C180,0))))</f>
        <v>25</v>
      </c>
      <c r="E180" s="15" t="n">
        <f aca="false">MAX(0,E179+F180-G180)</f>
        <v>0</v>
      </c>
      <c r="F180" s="15" t="n">
        <f aca="false">IF(E179&lt;=0.005,0,E179*Compare!$B$4/12)</f>
        <v>0</v>
      </c>
      <c r="G180" s="15" t="n">
        <f aca="false">IF(E179&lt;=0.005,0,MIN(E179+F180,Compare!$B$9))</f>
        <v>0</v>
      </c>
      <c r="H180" s="15" t="n">
        <f aca="false">MAX(0,H179+I180-J180)</f>
        <v>0</v>
      </c>
      <c r="I180" s="15" t="n">
        <f aca="false">IF(H179&lt;=0.005,0,H179*Compare!$B$4/12)</f>
        <v>0</v>
      </c>
      <c r="J180" s="15" t="n">
        <f aca="false">IF(H179&lt;=0.005,0,MIN(H179+I180,Compare!$B$9+Compare!$B$8))</f>
        <v>0</v>
      </c>
    </row>
    <row r="181" customFormat="false" ht="15" hidden="false" customHeight="false" outlineLevel="0" collapsed="false">
      <c r="A181" s="3" t="n">
        <v>178</v>
      </c>
      <c r="B181" s="15" t="n">
        <f aca="false">MAX(0,B180+C181-D181)</f>
        <v>26.6843282717247</v>
      </c>
      <c r="C181" s="15" t="n">
        <f aca="false">IF(B180&lt;=0.005,0,B180*Compare!$B$4/12)</f>
        <v>0.930487088361655</v>
      </c>
      <c r="D181" s="15" t="n">
        <f aca="false">IF(B180&lt;=0.005,0,MIN(B180+C181,MAX(Compare!$B$7,B180*Compare!$B$5+IF(Compare!$B$6="Yes",C181,0))))</f>
        <v>25</v>
      </c>
      <c r="E181" s="15" t="n">
        <f aca="false">MAX(0,E180+F181-G181)</f>
        <v>0</v>
      </c>
      <c r="F181" s="15" t="n">
        <f aca="false">IF(E180&lt;=0.005,0,E180*Compare!$B$4/12)</f>
        <v>0</v>
      </c>
      <c r="G181" s="15" t="n">
        <f aca="false">IF(E180&lt;=0.005,0,MIN(E180+F181,Compare!$B$9))</f>
        <v>0</v>
      </c>
      <c r="H181" s="15" t="n">
        <f aca="false">MAX(0,H180+I181-J181)</f>
        <v>0</v>
      </c>
      <c r="I181" s="15" t="n">
        <f aca="false">IF(H180&lt;=0.005,0,H180*Compare!$B$4/12)</f>
        <v>0</v>
      </c>
      <c r="J181" s="15" t="n">
        <f aca="false">IF(H180&lt;=0.005,0,MIN(H180+I181,Compare!$B$9+Compare!$B$8))</f>
        <v>0</v>
      </c>
    </row>
    <row r="182" customFormat="false" ht="15" hidden="false" customHeight="false" outlineLevel="0" collapsed="false">
      <c r="A182" s="3" t="n">
        <v>179</v>
      </c>
      <c r="B182" s="15" t="n">
        <f aca="false">MAX(0,B181+C182-D182)</f>
        <v>2.17354095670629</v>
      </c>
      <c r="C182" s="15" t="n">
        <f aca="false">IF(B181&lt;=0.005,0,B181*Compare!$B$4/12)</f>
        <v>0.489212684981619</v>
      </c>
      <c r="D182" s="15" t="n">
        <f aca="false">IF(B181&lt;=0.005,0,MIN(B181+C182,MAX(Compare!$B$7,B181*Compare!$B$5+IF(Compare!$B$6="Yes",C182,0))))</f>
        <v>25</v>
      </c>
      <c r="E182" s="15" t="n">
        <f aca="false">MAX(0,E181+F182-G182)</f>
        <v>0</v>
      </c>
      <c r="F182" s="15" t="n">
        <f aca="false">IF(E181&lt;=0.005,0,E181*Compare!$B$4/12)</f>
        <v>0</v>
      </c>
      <c r="G182" s="15" t="n">
        <f aca="false">IF(E181&lt;=0.005,0,MIN(E181+F182,Compare!$B$9))</f>
        <v>0</v>
      </c>
      <c r="H182" s="15" t="n">
        <f aca="false">MAX(0,H181+I182-J182)</f>
        <v>0</v>
      </c>
      <c r="I182" s="15" t="n">
        <f aca="false">IF(H181&lt;=0.005,0,H181*Compare!$B$4/12)</f>
        <v>0</v>
      </c>
      <c r="J182" s="15" t="n">
        <f aca="false">IF(H181&lt;=0.005,0,MIN(H181+I182,Compare!$B$9+Compare!$B$8))</f>
        <v>0</v>
      </c>
    </row>
    <row r="183" customFormat="false" ht="15" hidden="false" customHeight="false" outlineLevel="0" collapsed="false">
      <c r="A183" s="3" t="n">
        <v>180</v>
      </c>
      <c r="B183" s="15" t="n">
        <f aca="false">MAX(0,B182+C183-D183)</f>
        <v>0</v>
      </c>
      <c r="C183" s="15" t="n">
        <f aca="false">IF(B182&lt;=0.005,0,B182*Compare!$B$4/12)</f>
        <v>0.0398482508729486</v>
      </c>
      <c r="D183" s="15" t="n">
        <f aca="false">IF(B182&lt;=0.005,0,MIN(B182+C183,MAX(Compare!$B$7,B182*Compare!$B$5+IF(Compare!$B$6="Yes",C183,0))))</f>
        <v>2.21338920757924</v>
      </c>
      <c r="E183" s="15" t="n">
        <f aca="false">MAX(0,E182+F183-G183)</f>
        <v>0</v>
      </c>
      <c r="F183" s="15" t="n">
        <f aca="false">IF(E182&lt;=0.005,0,E182*Compare!$B$4/12)</f>
        <v>0</v>
      </c>
      <c r="G183" s="15" t="n">
        <f aca="false">IF(E182&lt;=0.005,0,MIN(E182+F183,Compare!$B$9))</f>
        <v>0</v>
      </c>
      <c r="H183" s="15" t="n">
        <f aca="false">MAX(0,H182+I183-J183)</f>
        <v>0</v>
      </c>
      <c r="I183" s="15" t="n">
        <f aca="false">IF(H182&lt;=0.005,0,H182*Compare!$B$4/12)</f>
        <v>0</v>
      </c>
      <c r="J183" s="15" t="n">
        <f aca="false">IF(H182&lt;=0.005,0,MIN(H182+I183,Compare!$B$9+Compare!$B$8))</f>
        <v>0</v>
      </c>
    </row>
    <row r="184" customFormat="false" ht="15" hidden="false" customHeight="false" outlineLevel="0" collapsed="false">
      <c r="A184" s="3" t="n">
        <v>181</v>
      </c>
      <c r="B184" s="15" t="n">
        <f aca="false">MAX(0,B183+C184-D184)</f>
        <v>0</v>
      </c>
      <c r="C184" s="15" t="n">
        <f aca="false">IF(B183&lt;=0.005,0,B183*Compare!$B$4/12)</f>
        <v>0</v>
      </c>
      <c r="D184" s="15" t="n">
        <f aca="false">IF(B183&lt;=0.005,0,MIN(B183+C184,MAX(Compare!$B$7,B183*Compare!$B$5+IF(Compare!$B$6="Yes",C184,0))))</f>
        <v>0</v>
      </c>
      <c r="E184" s="15" t="n">
        <f aca="false">MAX(0,E183+F184-G184)</f>
        <v>0</v>
      </c>
      <c r="F184" s="15" t="n">
        <f aca="false">IF(E183&lt;=0.005,0,E183*Compare!$B$4/12)</f>
        <v>0</v>
      </c>
      <c r="G184" s="15" t="n">
        <f aca="false">IF(E183&lt;=0.005,0,MIN(E183+F184,Compare!$B$9))</f>
        <v>0</v>
      </c>
      <c r="H184" s="15" t="n">
        <f aca="false">MAX(0,H183+I184-J184)</f>
        <v>0</v>
      </c>
      <c r="I184" s="15" t="n">
        <f aca="false">IF(H183&lt;=0.005,0,H183*Compare!$B$4/12)</f>
        <v>0</v>
      </c>
      <c r="J184" s="15" t="n">
        <f aca="false">IF(H183&lt;=0.005,0,MIN(H183+I184,Compare!$B$9+Compare!$B$8))</f>
        <v>0</v>
      </c>
    </row>
    <row r="185" customFormat="false" ht="15" hidden="false" customHeight="false" outlineLevel="0" collapsed="false">
      <c r="A185" s="3" t="n">
        <v>182</v>
      </c>
      <c r="B185" s="15" t="n">
        <f aca="false">MAX(0,B184+C185-D185)</f>
        <v>0</v>
      </c>
      <c r="C185" s="15" t="n">
        <f aca="false">IF(B184&lt;=0.005,0,B184*Compare!$B$4/12)</f>
        <v>0</v>
      </c>
      <c r="D185" s="15" t="n">
        <f aca="false">IF(B184&lt;=0.005,0,MIN(B184+C185,MAX(Compare!$B$7,B184*Compare!$B$5+IF(Compare!$B$6="Yes",C185,0))))</f>
        <v>0</v>
      </c>
      <c r="E185" s="15" t="n">
        <f aca="false">MAX(0,E184+F185-G185)</f>
        <v>0</v>
      </c>
      <c r="F185" s="15" t="n">
        <f aca="false">IF(E184&lt;=0.005,0,E184*Compare!$B$4/12)</f>
        <v>0</v>
      </c>
      <c r="G185" s="15" t="n">
        <f aca="false">IF(E184&lt;=0.005,0,MIN(E184+F185,Compare!$B$9))</f>
        <v>0</v>
      </c>
      <c r="H185" s="15" t="n">
        <f aca="false">MAX(0,H184+I185-J185)</f>
        <v>0</v>
      </c>
      <c r="I185" s="15" t="n">
        <f aca="false">IF(H184&lt;=0.005,0,H184*Compare!$B$4/12)</f>
        <v>0</v>
      </c>
      <c r="J185" s="15" t="n">
        <f aca="false">IF(H184&lt;=0.005,0,MIN(H184+I185,Compare!$B$9+Compare!$B$8))</f>
        <v>0</v>
      </c>
    </row>
    <row r="186" customFormat="false" ht="15" hidden="false" customHeight="false" outlineLevel="0" collapsed="false">
      <c r="A186" s="3" t="n">
        <v>183</v>
      </c>
      <c r="B186" s="15" t="n">
        <f aca="false">MAX(0,B185+C186-D186)</f>
        <v>0</v>
      </c>
      <c r="C186" s="15" t="n">
        <f aca="false">IF(B185&lt;=0.005,0,B185*Compare!$B$4/12)</f>
        <v>0</v>
      </c>
      <c r="D186" s="15" t="n">
        <f aca="false">IF(B185&lt;=0.005,0,MIN(B185+C186,MAX(Compare!$B$7,B185*Compare!$B$5+IF(Compare!$B$6="Yes",C186,0))))</f>
        <v>0</v>
      </c>
      <c r="E186" s="15" t="n">
        <f aca="false">MAX(0,E185+F186-G186)</f>
        <v>0</v>
      </c>
      <c r="F186" s="15" t="n">
        <f aca="false">IF(E185&lt;=0.005,0,E185*Compare!$B$4/12)</f>
        <v>0</v>
      </c>
      <c r="G186" s="15" t="n">
        <f aca="false">IF(E185&lt;=0.005,0,MIN(E185+F186,Compare!$B$9))</f>
        <v>0</v>
      </c>
      <c r="H186" s="15" t="n">
        <f aca="false">MAX(0,H185+I186-J186)</f>
        <v>0</v>
      </c>
      <c r="I186" s="15" t="n">
        <f aca="false">IF(H185&lt;=0.005,0,H185*Compare!$B$4/12)</f>
        <v>0</v>
      </c>
      <c r="J186" s="15" t="n">
        <f aca="false">IF(H185&lt;=0.005,0,MIN(H185+I186,Compare!$B$9+Compare!$B$8))</f>
        <v>0</v>
      </c>
    </row>
    <row r="187" customFormat="false" ht="15" hidden="false" customHeight="false" outlineLevel="0" collapsed="false">
      <c r="A187" s="3" t="n">
        <v>184</v>
      </c>
      <c r="B187" s="15" t="n">
        <f aca="false">MAX(0,B186+C187-D187)</f>
        <v>0</v>
      </c>
      <c r="C187" s="15" t="n">
        <f aca="false">IF(B186&lt;=0.005,0,B186*Compare!$B$4/12)</f>
        <v>0</v>
      </c>
      <c r="D187" s="15" t="n">
        <f aca="false">IF(B186&lt;=0.005,0,MIN(B186+C187,MAX(Compare!$B$7,B186*Compare!$B$5+IF(Compare!$B$6="Yes",C187,0))))</f>
        <v>0</v>
      </c>
      <c r="E187" s="15" t="n">
        <f aca="false">MAX(0,E186+F187-G187)</f>
        <v>0</v>
      </c>
      <c r="F187" s="15" t="n">
        <f aca="false">IF(E186&lt;=0.005,0,E186*Compare!$B$4/12)</f>
        <v>0</v>
      </c>
      <c r="G187" s="15" t="n">
        <f aca="false">IF(E186&lt;=0.005,0,MIN(E186+F187,Compare!$B$9))</f>
        <v>0</v>
      </c>
      <c r="H187" s="15" t="n">
        <f aca="false">MAX(0,H186+I187-J187)</f>
        <v>0</v>
      </c>
      <c r="I187" s="15" t="n">
        <f aca="false">IF(H186&lt;=0.005,0,H186*Compare!$B$4/12)</f>
        <v>0</v>
      </c>
      <c r="J187" s="15" t="n">
        <f aca="false">IF(H186&lt;=0.005,0,MIN(H186+I187,Compare!$B$9+Compare!$B$8))</f>
        <v>0</v>
      </c>
    </row>
    <row r="188" customFormat="false" ht="15" hidden="false" customHeight="false" outlineLevel="0" collapsed="false">
      <c r="A188" s="3" t="n">
        <v>185</v>
      </c>
      <c r="B188" s="15" t="n">
        <f aca="false">MAX(0,B187+C188-D188)</f>
        <v>0</v>
      </c>
      <c r="C188" s="15" t="n">
        <f aca="false">IF(B187&lt;=0.005,0,B187*Compare!$B$4/12)</f>
        <v>0</v>
      </c>
      <c r="D188" s="15" t="n">
        <f aca="false">IF(B187&lt;=0.005,0,MIN(B187+C188,MAX(Compare!$B$7,B187*Compare!$B$5+IF(Compare!$B$6="Yes",C188,0))))</f>
        <v>0</v>
      </c>
      <c r="E188" s="15" t="n">
        <f aca="false">MAX(0,E187+F188-G188)</f>
        <v>0</v>
      </c>
      <c r="F188" s="15" t="n">
        <f aca="false">IF(E187&lt;=0.005,0,E187*Compare!$B$4/12)</f>
        <v>0</v>
      </c>
      <c r="G188" s="15" t="n">
        <f aca="false">IF(E187&lt;=0.005,0,MIN(E187+F188,Compare!$B$9))</f>
        <v>0</v>
      </c>
      <c r="H188" s="15" t="n">
        <f aca="false">MAX(0,H187+I188-J188)</f>
        <v>0</v>
      </c>
      <c r="I188" s="15" t="n">
        <f aca="false">IF(H187&lt;=0.005,0,H187*Compare!$B$4/12)</f>
        <v>0</v>
      </c>
      <c r="J188" s="15" t="n">
        <f aca="false">IF(H187&lt;=0.005,0,MIN(H187+I188,Compare!$B$9+Compare!$B$8))</f>
        <v>0</v>
      </c>
    </row>
    <row r="189" customFormat="false" ht="15" hidden="false" customHeight="false" outlineLevel="0" collapsed="false">
      <c r="A189" s="3" t="n">
        <v>186</v>
      </c>
      <c r="B189" s="15" t="n">
        <f aca="false">MAX(0,B188+C189-D189)</f>
        <v>0</v>
      </c>
      <c r="C189" s="15" t="n">
        <f aca="false">IF(B188&lt;=0.005,0,B188*Compare!$B$4/12)</f>
        <v>0</v>
      </c>
      <c r="D189" s="15" t="n">
        <f aca="false">IF(B188&lt;=0.005,0,MIN(B188+C189,MAX(Compare!$B$7,B188*Compare!$B$5+IF(Compare!$B$6="Yes",C189,0))))</f>
        <v>0</v>
      </c>
      <c r="E189" s="15" t="n">
        <f aca="false">MAX(0,E188+F189-G189)</f>
        <v>0</v>
      </c>
      <c r="F189" s="15" t="n">
        <f aca="false">IF(E188&lt;=0.005,0,E188*Compare!$B$4/12)</f>
        <v>0</v>
      </c>
      <c r="G189" s="15" t="n">
        <f aca="false">IF(E188&lt;=0.005,0,MIN(E188+F189,Compare!$B$9))</f>
        <v>0</v>
      </c>
      <c r="H189" s="15" t="n">
        <f aca="false">MAX(0,H188+I189-J189)</f>
        <v>0</v>
      </c>
      <c r="I189" s="15" t="n">
        <f aca="false">IF(H188&lt;=0.005,0,H188*Compare!$B$4/12)</f>
        <v>0</v>
      </c>
      <c r="J189" s="15" t="n">
        <f aca="false">IF(H188&lt;=0.005,0,MIN(H188+I189,Compare!$B$9+Compare!$B$8))</f>
        <v>0</v>
      </c>
    </row>
    <row r="190" customFormat="false" ht="15" hidden="false" customHeight="false" outlineLevel="0" collapsed="false">
      <c r="A190" s="3" t="n">
        <v>187</v>
      </c>
      <c r="B190" s="15" t="n">
        <f aca="false">MAX(0,B189+C190-D190)</f>
        <v>0</v>
      </c>
      <c r="C190" s="15" t="n">
        <f aca="false">IF(B189&lt;=0.005,0,B189*Compare!$B$4/12)</f>
        <v>0</v>
      </c>
      <c r="D190" s="15" t="n">
        <f aca="false">IF(B189&lt;=0.005,0,MIN(B189+C190,MAX(Compare!$B$7,B189*Compare!$B$5+IF(Compare!$B$6="Yes",C190,0))))</f>
        <v>0</v>
      </c>
      <c r="E190" s="15" t="n">
        <f aca="false">MAX(0,E189+F190-G190)</f>
        <v>0</v>
      </c>
      <c r="F190" s="15" t="n">
        <f aca="false">IF(E189&lt;=0.005,0,E189*Compare!$B$4/12)</f>
        <v>0</v>
      </c>
      <c r="G190" s="15" t="n">
        <f aca="false">IF(E189&lt;=0.005,0,MIN(E189+F190,Compare!$B$9))</f>
        <v>0</v>
      </c>
      <c r="H190" s="15" t="n">
        <f aca="false">MAX(0,H189+I190-J190)</f>
        <v>0</v>
      </c>
      <c r="I190" s="15" t="n">
        <f aca="false">IF(H189&lt;=0.005,0,H189*Compare!$B$4/12)</f>
        <v>0</v>
      </c>
      <c r="J190" s="15" t="n">
        <f aca="false">IF(H189&lt;=0.005,0,MIN(H189+I190,Compare!$B$9+Compare!$B$8))</f>
        <v>0</v>
      </c>
    </row>
    <row r="191" customFormat="false" ht="15" hidden="false" customHeight="false" outlineLevel="0" collapsed="false">
      <c r="A191" s="3" t="n">
        <v>188</v>
      </c>
      <c r="B191" s="15" t="n">
        <f aca="false">MAX(0,B190+C191-D191)</f>
        <v>0</v>
      </c>
      <c r="C191" s="15" t="n">
        <f aca="false">IF(B190&lt;=0.005,0,B190*Compare!$B$4/12)</f>
        <v>0</v>
      </c>
      <c r="D191" s="15" t="n">
        <f aca="false">IF(B190&lt;=0.005,0,MIN(B190+C191,MAX(Compare!$B$7,B190*Compare!$B$5+IF(Compare!$B$6="Yes",C191,0))))</f>
        <v>0</v>
      </c>
      <c r="E191" s="15" t="n">
        <f aca="false">MAX(0,E190+F191-G191)</f>
        <v>0</v>
      </c>
      <c r="F191" s="15" t="n">
        <f aca="false">IF(E190&lt;=0.005,0,E190*Compare!$B$4/12)</f>
        <v>0</v>
      </c>
      <c r="G191" s="15" t="n">
        <f aca="false">IF(E190&lt;=0.005,0,MIN(E190+F191,Compare!$B$9))</f>
        <v>0</v>
      </c>
      <c r="H191" s="15" t="n">
        <f aca="false">MAX(0,H190+I191-J191)</f>
        <v>0</v>
      </c>
      <c r="I191" s="15" t="n">
        <f aca="false">IF(H190&lt;=0.005,0,H190*Compare!$B$4/12)</f>
        <v>0</v>
      </c>
      <c r="J191" s="15" t="n">
        <f aca="false">IF(H190&lt;=0.005,0,MIN(H190+I191,Compare!$B$9+Compare!$B$8))</f>
        <v>0</v>
      </c>
    </row>
    <row r="192" customFormat="false" ht="15" hidden="false" customHeight="false" outlineLevel="0" collapsed="false">
      <c r="A192" s="3" t="n">
        <v>189</v>
      </c>
      <c r="B192" s="15" t="n">
        <f aca="false">MAX(0,B191+C192-D192)</f>
        <v>0</v>
      </c>
      <c r="C192" s="15" t="n">
        <f aca="false">IF(B191&lt;=0.005,0,B191*Compare!$B$4/12)</f>
        <v>0</v>
      </c>
      <c r="D192" s="15" t="n">
        <f aca="false">IF(B191&lt;=0.005,0,MIN(B191+C192,MAX(Compare!$B$7,B191*Compare!$B$5+IF(Compare!$B$6="Yes",C192,0))))</f>
        <v>0</v>
      </c>
      <c r="E192" s="15" t="n">
        <f aca="false">MAX(0,E191+F192-G192)</f>
        <v>0</v>
      </c>
      <c r="F192" s="15" t="n">
        <f aca="false">IF(E191&lt;=0.005,0,E191*Compare!$B$4/12)</f>
        <v>0</v>
      </c>
      <c r="G192" s="15" t="n">
        <f aca="false">IF(E191&lt;=0.005,0,MIN(E191+F192,Compare!$B$9))</f>
        <v>0</v>
      </c>
      <c r="H192" s="15" t="n">
        <f aca="false">MAX(0,H191+I192-J192)</f>
        <v>0</v>
      </c>
      <c r="I192" s="15" t="n">
        <f aca="false">IF(H191&lt;=0.005,0,H191*Compare!$B$4/12)</f>
        <v>0</v>
      </c>
      <c r="J192" s="15" t="n">
        <f aca="false">IF(H191&lt;=0.005,0,MIN(H191+I192,Compare!$B$9+Compare!$B$8))</f>
        <v>0</v>
      </c>
    </row>
    <row r="193" customFormat="false" ht="15" hidden="false" customHeight="false" outlineLevel="0" collapsed="false">
      <c r="A193" s="3" t="n">
        <v>190</v>
      </c>
      <c r="B193" s="15" t="n">
        <f aca="false">MAX(0,B192+C193-D193)</f>
        <v>0</v>
      </c>
      <c r="C193" s="15" t="n">
        <f aca="false">IF(B192&lt;=0.005,0,B192*Compare!$B$4/12)</f>
        <v>0</v>
      </c>
      <c r="D193" s="15" t="n">
        <f aca="false">IF(B192&lt;=0.005,0,MIN(B192+C193,MAX(Compare!$B$7,B192*Compare!$B$5+IF(Compare!$B$6="Yes",C193,0))))</f>
        <v>0</v>
      </c>
      <c r="E193" s="15" t="n">
        <f aca="false">MAX(0,E192+F193-G193)</f>
        <v>0</v>
      </c>
      <c r="F193" s="15" t="n">
        <f aca="false">IF(E192&lt;=0.005,0,E192*Compare!$B$4/12)</f>
        <v>0</v>
      </c>
      <c r="G193" s="15" t="n">
        <f aca="false">IF(E192&lt;=0.005,0,MIN(E192+F193,Compare!$B$9))</f>
        <v>0</v>
      </c>
      <c r="H193" s="15" t="n">
        <f aca="false">MAX(0,H192+I193-J193)</f>
        <v>0</v>
      </c>
      <c r="I193" s="15" t="n">
        <f aca="false">IF(H192&lt;=0.005,0,H192*Compare!$B$4/12)</f>
        <v>0</v>
      </c>
      <c r="J193" s="15" t="n">
        <f aca="false">IF(H192&lt;=0.005,0,MIN(H192+I193,Compare!$B$9+Compare!$B$8))</f>
        <v>0</v>
      </c>
    </row>
    <row r="194" customFormat="false" ht="15" hidden="false" customHeight="false" outlineLevel="0" collapsed="false">
      <c r="A194" s="3" t="n">
        <v>191</v>
      </c>
      <c r="B194" s="15" t="n">
        <f aca="false">MAX(0,B193+C194-D194)</f>
        <v>0</v>
      </c>
      <c r="C194" s="15" t="n">
        <f aca="false">IF(B193&lt;=0.005,0,B193*Compare!$B$4/12)</f>
        <v>0</v>
      </c>
      <c r="D194" s="15" t="n">
        <f aca="false">IF(B193&lt;=0.005,0,MIN(B193+C194,MAX(Compare!$B$7,B193*Compare!$B$5+IF(Compare!$B$6="Yes",C194,0))))</f>
        <v>0</v>
      </c>
      <c r="E194" s="15" t="n">
        <f aca="false">MAX(0,E193+F194-G194)</f>
        <v>0</v>
      </c>
      <c r="F194" s="15" t="n">
        <f aca="false">IF(E193&lt;=0.005,0,E193*Compare!$B$4/12)</f>
        <v>0</v>
      </c>
      <c r="G194" s="15" t="n">
        <f aca="false">IF(E193&lt;=0.005,0,MIN(E193+F194,Compare!$B$9))</f>
        <v>0</v>
      </c>
      <c r="H194" s="15" t="n">
        <f aca="false">MAX(0,H193+I194-J194)</f>
        <v>0</v>
      </c>
      <c r="I194" s="15" t="n">
        <f aca="false">IF(H193&lt;=0.005,0,H193*Compare!$B$4/12)</f>
        <v>0</v>
      </c>
      <c r="J194" s="15" t="n">
        <f aca="false">IF(H193&lt;=0.005,0,MIN(H193+I194,Compare!$B$9+Compare!$B$8))</f>
        <v>0</v>
      </c>
    </row>
    <row r="195" customFormat="false" ht="15" hidden="false" customHeight="false" outlineLevel="0" collapsed="false">
      <c r="A195" s="3" t="n">
        <v>192</v>
      </c>
      <c r="B195" s="15" t="n">
        <f aca="false">MAX(0,B194+C195-D195)</f>
        <v>0</v>
      </c>
      <c r="C195" s="15" t="n">
        <f aca="false">IF(B194&lt;=0.005,0,B194*Compare!$B$4/12)</f>
        <v>0</v>
      </c>
      <c r="D195" s="15" t="n">
        <f aca="false">IF(B194&lt;=0.005,0,MIN(B194+C195,MAX(Compare!$B$7,B194*Compare!$B$5+IF(Compare!$B$6="Yes",C195,0))))</f>
        <v>0</v>
      </c>
      <c r="E195" s="15" t="n">
        <f aca="false">MAX(0,E194+F195-G195)</f>
        <v>0</v>
      </c>
      <c r="F195" s="15" t="n">
        <f aca="false">IF(E194&lt;=0.005,0,E194*Compare!$B$4/12)</f>
        <v>0</v>
      </c>
      <c r="G195" s="15" t="n">
        <f aca="false">IF(E194&lt;=0.005,0,MIN(E194+F195,Compare!$B$9))</f>
        <v>0</v>
      </c>
      <c r="H195" s="15" t="n">
        <f aca="false">MAX(0,H194+I195-J195)</f>
        <v>0</v>
      </c>
      <c r="I195" s="15" t="n">
        <f aca="false">IF(H194&lt;=0.005,0,H194*Compare!$B$4/12)</f>
        <v>0</v>
      </c>
      <c r="J195" s="15" t="n">
        <f aca="false">IF(H194&lt;=0.005,0,MIN(H194+I195,Compare!$B$9+Compare!$B$8))</f>
        <v>0</v>
      </c>
    </row>
    <row r="196" customFormat="false" ht="15" hidden="false" customHeight="false" outlineLevel="0" collapsed="false">
      <c r="A196" s="3" t="n">
        <v>193</v>
      </c>
      <c r="B196" s="15" t="n">
        <f aca="false">MAX(0,B195+C196-D196)</f>
        <v>0</v>
      </c>
      <c r="C196" s="15" t="n">
        <f aca="false">IF(B195&lt;=0.005,0,B195*Compare!$B$4/12)</f>
        <v>0</v>
      </c>
      <c r="D196" s="15" t="n">
        <f aca="false">IF(B195&lt;=0.005,0,MIN(B195+C196,MAX(Compare!$B$7,B195*Compare!$B$5+IF(Compare!$B$6="Yes",C196,0))))</f>
        <v>0</v>
      </c>
      <c r="E196" s="15" t="n">
        <f aca="false">MAX(0,E195+F196-G196)</f>
        <v>0</v>
      </c>
      <c r="F196" s="15" t="n">
        <f aca="false">IF(E195&lt;=0.005,0,E195*Compare!$B$4/12)</f>
        <v>0</v>
      </c>
      <c r="G196" s="15" t="n">
        <f aca="false">IF(E195&lt;=0.005,0,MIN(E195+F196,Compare!$B$9))</f>
        <v>0</v>
      </c>
      <c r="H196" s="15" t="n">
        <f aca="false">MAX(0,H195+I196-J196)</f>
        <v>0</v>
      </c>
      <c r="I196" s="15" t="n">
        <f aca="false">IF(H195&lt;=0.005,0,H195*Compare!$B$4/12)</f>
        <v>0</v>
      </c>
      <c r="J196" s="15" t="n">
        <f aca="false">IF(H195&lt;=0.005,0,MIN(H195+I196,Compare!$B$9+Compare!$B$8))</f>
        <v>0</v>
      </c>
    </row>
    <row r="197" customFormat="false" ht="15" hidden="false" customHeight="false" outlineLevel="0" collapsed="false">
      <c r="A197" s="3" t="n">
        <v>194</v>
      </c>
      <c r="B197" s="15" t="n">
        <f aca="false">MAX(0,B196+C197-D197)</f>
        <v>0</v>
      </c>
      <c r="C197" s="15" t="n">
        <f aca="false">IF(B196&lt;=0.005,0,B196*Compare!$B$4/12)</f>
        <v>0</v>
      </c>
      <c r="D197" s="15" t="n">
        <f aca="false">IF(B196&lt;=0.005,0,MIN(B196+C197,MAX(Compare!$B$7,B196*Compare!$B$5+IF(Compare!$B$6="Yes",C197,0))))</f>
        <v>0</v>
      </c>
      <c r="E197" s="15" t="n">
        <f aca="false">MAX(0,E196+F197-G197)</f>
        <v>0</v>
      </c>
      <c r="F197" s="15" t="n">
        <f aca="false">IF(E196&lt;=0.005,0,E196*Compare!$B$4/12)</f>
        <v>0</v>
      </c>
      <c r="G197" s="15" t="n">
        <f aca="false">IF(E196&lt;=0.005,0,MIN(E196+F197,Compare!$B$9))</f>
        <v>0</v>
      </c>
      <c r="H197" s="15" t="n">
        <f aca="false">MAX(0,H196+I197-J197)</f>
        <v>0</v>
      </c>
      <c r="I197" s="15" t="n">
        <f aca="false">IF(H196&lt;=0.005,0,H196*Compare!$B$4/12)</f>
        <v>0</v>
      </c>
      <c r="J197" s="15" t="n">
        <f aca="false">IF(H196&lt;=0.005,0,MIN(H196+I197,Compare!$B$9+Compare!$B$8))</f>
        <v>0</v>
      </c>
    </row>
    <row r="198" customFormat="false" ht="15" hidden="false" customHeight="false" outlineLevel="0" collapsed="false">
      <c r="A198" s="3" t="n">
        <v>195</v>
      </c>
      <c r="B198" s="15" t="n">
        <f aca="false">MAX(0,B197+C198-D198)</f>
        <v>0</v>
      </c>
      <c r="C198" s="15" t="n">
        <f aca="false">IF(B197&lt;=0.005,0,B197*Compare!$B$4/12)</f>
        <v>0</v>
      </c>
      <c r="D198" s="15" t="n">
        <f aca="false">IF(B197&lt;=0.005,0,MIN(B197+C198,MAX(Compare!$B$7,B197*Compare!$B$5+IF(Compare!$B$6="Yes",C198,0))))</f>
        <v>0</v>
      </c>
      <c r="E198" s="15" t="n">
        <f aca="false">MAX(0,E197+F198-G198)</f>
        <v>0</v>
      </c>
      <c r="F198" s="15" t="n">
        <f aca="false">IF(E197&lt;=0.005,0,E197*Compare!$B$4/12)</f>
        <v>0</v>
      </c>
      <c r="G198" s="15" t="n">
        <f aca="false">IF(E197&lt;=0.005,0,MIN(E197+F198,Compare!$B$9))</f>
        <v>0</v>
      </c>
      <c r="H198" s="15" t="n">
        <f aca="false">MAX(0,H197+I198-J198)</f>
        <v>0</v>
      </c>
      <c r="I198" s="15" t="n">
        <f aca="false">IF(H197&lt;=0.005,0,H197*Compare!$B$4/12)</f>
        <v>0</v>
      </c>
      <c r="J198" s="15" t="n">
        <f aca="false">IF(H197&lt;=0.005,0,MIN(H197+I198,Compare!$B$9+Compare!$B$8))</f>
        <v>0</v>
      </c>
    </row>
    <row r="199" customFormat="false" ht="15" hidden="false" customHeight="false" outlineLevel="0" collapsed="false">
      <c r="A199" s="3" t="n">
        <v>196</v>
      </c>
      <c r="B199" s="15" t="n">
        <f aca="false">MAX(0,B198+C199-D199)</f>
        <v>0</v>
      </c>
      <c r="C199" s="15" t="n">
        <f aca="false">IF(B198&lt;=0.005,0,B198*Compare!$B$4/12)</f>
        <v>0</v>
      </c>
      <c r="D199" s="15" t="n">
        <f aca="false">IF(B198&lt;=0.005,0,MIN(B198+C199,MAX(Compare!$B$7,B198*Compare!$B$5+IF(Compare!$B$6="Yes",C199,0))))</f>
        <v>0</v>
      </c>
      <c r="E199" s="15" t="n">
        <f aca="false">MAX(0,E198+F199-G199)</f>
        <v>0</v>
      </c>
      <c r="F199" s="15" t="n">
        <f aca="false">IF(E198&lt;=0.005,0,E198*Compare!$B$4/12)</f>
        <v>0</v>
      </c>
      <c r="G199" s="15" t="n">
        <f aca="false">IF(E198&lt;=0.005,0,MIN(E198+F199,Compare!$B$9))</f>
        <v>0</v>
      </c>
      <c r="H199" s="15" t="n">
        <f aca="false">MAX(0,H198+I199-J199)</f>
        <v>0</v>
      </c>
      <c r="I199" s="15" t="n">
        <f aca="false">IF(H198&lt;=0.005,0,H198*Compare!$B$4/12)</f>
        <v>0</v>
      </c>
      <c r="J199" s="15" t="n">
        <f aca="false">IF(H198&lt;=0.005,0,MIN(H198+I199,Compare!$B$9+Compare!$B$8))</f>
        <v>0</v>
      </c>
    </row>
    <row r="200" customFormat="false" ht="15" hidden="false" customHeight="false" outlineLevel="0" collapsed="false">
      <c r="A200" s="3" t="n">
        <v>197</v>
      </c>
      <c r="B200" s="15" t="n">
        <f aca="false">MAX(0,B199+C200-D200)</f>
        <v>0</v>
      </c>
      <c r="C200" s="15" t="n">
        <f aca="false">IF(B199&lt;=0.005,0,B199*Compare!$B$4/12)</f>
        <v>0</v>
      </c>
      <c r="D200" s="15" t="n">
        <f aca="false">IF(B199&lt;=0.005,0,MIN(B199+C200,MAX(Compare!$B$7,B199*Compare!$B$5+IF(Compare!$B$6="Yes",C200,0))))</f>
        <v>0</v>
      </c>
      <c r="E200" s="15" t="n">
        <f aca="false">MAX(0,E199+F200-G200)</f>
        <v>0</v>
      </c>
      <c r="F200" s="15" t="n">
        <f aca="false">IF(E199&lt;=0.005,0,E199*Compare!$B$4/12)</f>
        <v>0</v>
      </c>
      <c r="G200" s="15" t="n">
        <f aca="false">IF(E199&lt;=0.005,0,MIN(E199+F200,Compare!$B$9))</f>
        <v>0</v>
      </c>
      <c r="H200" s="15" t="n">
        <f aca="false">MAX(0,H199+I200-J200)</f>
        <v>0</v>
      </c>
      <c r="I200" s="15" t="n">
        <f aca="false">IF(H199&lt;=0.005,0,H199*Compare!$B$4/12)</f>
        <v>0</v>
      </c>
      <c r="J200" s="15" t="n">
        <f aca="false">IF(H199&lt;=0.005,0,MIN(H199+I200,Compare!$B$9+Compare!$B$8))</f>
        <v>0</v>
      </c>
    </row>
    <row r="201" customFormat="false" ht="15" hidden="false" customHeight="false" outlineLevel="0" collapsed="false">
      <c r="A201" s="3" t="n">
        <v>198</v>
      </c>
      <c r="B201" s="15" t="n">
        <f aca="false">MAX(0,B200+C201-D201)</f>
        <v>0</v>
      </c>
      <c r="C201" s="15" t="n">
        <f aca="false">IF(B200&lt;=0.005,0,B200*Compare!$B$4/12)</f>
        <v>0</v>
      </c>
      <c r="D201" s="15" t="n">
        <f aca="false">IF(B200&lt;=0.005,0,MIN(B200+C201,MAX(Compare!$B$7,B200*Compare!$B$5+IF(Compare!$B$6="Yes",C201,0))))</f>
        <v>0</v>
      </c>
      <c r="E201" s="15" t="n">
        <f aca="false">MAX(0,E200+F201-G201)</f>
        <v>0</v>
      </c>
      <c r="F201" s="15" t="n">
        <f aca="false">IF(E200&lt;=0.005,0,E200*Compare!$B$4/12)</f>
        <v>0</v>
      </c>
      <c r="G201" s="15" t="n">
        <f aca="false">IF(E200&lt;=0.005,0,MIN(E200+F201,Compare!$B$9))</f>
        <v>0</v>
      </c>
      <c r="H201" s="15" t="n">
        <f aca="false">MAX(0,H200+I201-J201)</f>
        <v>0</v>
      </c>
      <c r="I201" s="15" t="n">
        <f aca="false">IF(H200&lt;=0.005,0,H200*Compare!$B$4/12)</f>
        <v>0</v>
      </c>
      <c r="J201" s="15" t="n">
        <f aca="false">IF(H200&lt;=0.005,0,MIN(H200+I201,Compare!$B$9+Compare!$B$8))</f>
        <v>0</v>
      </c>
    </row>
    <row r="202" customFormat="false" ht="15" hidden="false" customHeight="false" outlineLevel="0" collapsed="false">
      <c r="A202" s="3" t="n">
        <v>199</v>
      </c>
      <c r="B202" s="15" t="n">
        <f aca="false">MAX(0,B201+C202-D202)</f>
        <v>0</v>
      </c>
      <c r="C202" s="15" t="n">
        <f aca="false">IF(B201&lt;=0.005,0,B201*Compare!$B$4/12)</f>
        <v>0</v>
      </c>
      <c r="D202" s="15" t="n">
        <f aca="false">IF(B201&lt;=0.005,0,MIN(B201+C202,MAX(Compare!$B$7,B201*Compare!$B$5+IF(Compare!$B$6="Yes",C202,0))))</f>
        <v>0</v>
      </c>
      <c r="E202" s="15" t="n">
        <f aca="false">MAX(0,E201+F202-G202)</f>
        <v>0</v>
      </c>
      <c r="F202" s="15" t="n">
        <f aca="false">IF(E201&lt;=0.005,0,E201*Compare!$B$4/12)</f>
        <v>0</v>
      </c>
      <c r="G202" s="15" t="n">
        <f aca="false">IF(E201&lt;=0.005,0,MIN(E201+F202,Compare!$B$9))</f>
        <v>0</v>
      </c>
      <c r="H202" s="15" t="n">
        <f aca="false">MAX(0,H201+I202-J202)</f>
        <v>0</v>
      </c>
      <c r="I202" s="15" t="n">
        <f aca="false">IF(H201&lt;=0.005,0,H201*Compare!$B$4/12)</f>
        <v>0</v>
      </c>
      <c r="J202" s="15" t="n">
        <f aca="false">IF(H201&lt;=0.005,0,MIN(H201+I202,Compare!$B$9+Compare!$B$8))</f>
        <v>0</v>
      </c>
    </row>
    <row r="203" customFormat="false" ht="15" hidden="false" customHeight="false" outlineLevel="0" collapsed="false">
      <c r="A203" s="3" t="n">
        <v>200</v>
      </c>
      <c r="B203" s="15" t="n">
        <f aca="false">MAX(0,B202+C203-D203)</f>
        <v>0</v>
      </c>
      <c r="C203" s="15" t="n">
        <f aca="false">IF(B202&lt;=0.005,0,B202*Compare!$B$4/12)</f>
        <v>0</v>
      </c>
      <c r="D203" s="15" t="n">
        <f aca="false">IF(B202&lt;=0.005,0,MIN(B202+C203,MAX(Compare!$B$7,B202*Compare!$B$5+IF(Compare!$B$6="Yes",C203,0))))</f>
        <v>0</v>
      </c>
      <c r="E203" s="15" t="n">
        <f aca="false">MAX(0,E202+F203-G203)</f>
        <v>0</v>
      </c>
      <c r="F203" s="15" t="n">
        <f aca="false">IF(E202&lt;=0.005,0,E202*Compare!$B$4/12)</f>
        <v>0</v>
      </c>
      <c r="G203" s="15" t="n">
        <f aca="false">IF(E202&lt;=0.005,0,MIN(E202+F203,Compare!$B$9))</f>
        <v>0</v>
      </c>
      <c r="H203" s="15" t="n">
        <f aca="false">MAX(0,H202+I203-J203)</f>
        <v>0</v>
      </c>
      <c r="I203" s="15" t="n">
        <f aca="false">IF(H202&lt;=0.005,0,H202*Compare!$B$4/12)</f>
        <v>0</v>
      </c>
      <c r="J203" s="15" t="n">
        <f aca="false">IF(H202&lt;=0.005,0,MIN(H202+I203,Compare!$B$9+Compare!$B$8))</f>
        <v>0</v>
      </c>
    </row>
    <row r="204" customFormat="false" ht="15" hidden="false" customHeight="false" outlineLevel="0" collapsed="false">
      <c r="A204" s="3" t="n">
        <v>201</v>
      </c>
      <c r="B204" s="15" t="n">
        <f aca="false">MAX(0,B203+C204-D204)</f>
        <v>0</v>
      </c>
      <c r="C204" s="15" t="n">
        <f aca="false">IF(B203&lt;=0.005,0,B203*Compare!$B$4/12)</f>
        <v>0</v>
      </c>
      <c r="D204" s="15" t="n">
        <f aca="false">IF(B203&lt;=0.005,0,MIN(B203+C204,MAX(Compare!$B$7,B203*Compare!$B$5+IF(Compare!$B$6="Yes",C204,0))))</f>
        <v>0</v>
      </c>
      <c r="E204" s="15" t="n">
        <f aca="false">MAX(0,E203+F204-G204)</f>
        <v>0</v>
      </c>
      <c r="F204" s="15" t="n">
        <f aca="false">IF(E203&lt;=0.005,0,E203*Compare!$B$4/12)</f>
        <v>0</v>
      </c>
      <c r="G204" s="15" t="n">
        <f aca="false">IF(E203&lt;=0.005,0,MIN(E203+F204,Compare!$B$9))</f>
        <v>0</v>
      </c>
      <c r="H204" s="15" t="n">
        <f aca="false">MAX(0,H203+I204-J204)</f>
        <v>0</v>
      </c>
      <c r="I204" s="15" t="n">
        <f aca="false">IF(H203&lt;=0.005,0,H203*Compare!$B$4/12)</f>
        <v>0</v>
      </c>
      <c r="J204" s="15" t="n">
        <f aca="false">IF(H203&lt;=0.005,0,MIN(H203+I204,Compare!$B$9+Compare!$B$8))</f>
        <v>0</v>
      </c>
    </row>
    <row r="205" customFormat="false" ht="15" hidden="false" customHeight="false" outlineLevel="0" collapsed="false">
      <c r="A205" s="3" t="n">
        <v>202</v>
      </c>
      <c r="B205" s="15" t="n">
        <f aca="false">MAX(0,B204+C205-D205)</f>
        <v>0</v>
      </c>
      <c r="C205" s="15" t="n">
        <f aca="false">IF(B204&lt;=0.005,0,B204*Compare!$B$4/12)</f>
        <v>0</v>
      </c>
      <c r="D205" s="15" t="n">
        <f aca="false">IF(B204&lt;=0.005,0,MIN(B204+C205,MAX(Compare!$B$7,B204*Compare!$B$5+IF(Compare!$B$6="Yes",C205,0))))</f>
        <v>0</v>
      </c>
      <c r="E205" s="15" t="n">
        <f aca="false">MAX(0,E204+F205-G205)</f>
        <v>0</v>
      </c>
      <c r="F205" s="15" t="n">
        <f aca="false">IF(E204&lt;=0.005,0,E204*Compare!$B$4/12)</f>
        <v>0</v>
      </c>
      <c r="G205" s="15" t="n">
        <f aca="false">IF(E204&lt;=0.005,0,MIN(E204+F205,Compare!$B$9))</f>
        <v>0</v>
      </c>
      <c r="H205" s="15" t="n">
        <f aca="false">MAX(0,H204+I205-J205)</f>
        <v>0</v>
      </c>
      <c r="I205" s="15" t="n">
        <f aca="false">IF(H204&lt;=0.005,0,H204*Compare!$B$4/12)</f>
        <v>0</v>
      </c>
      <c r="J205" s="15" t="n">
        <f aca="false">IF(H204&lt;=0.005,0,MIN(H204+I205,Compare!$B$9+Compare!$B$8))</f>
        <v>0</v>
      </c>
    </row>
    <row r="206" customFormat="false" ht="15" hidden="false" customHeight="false" outlineLevel="0" collapsed="false">
      <c r="A206" s="3" t="n">
        <v>203</v>
      </c>
      <c r="B206" s="15" t="n">
        <f aca="false">MAX(0,B205+C206-D206)</f>
        <v>0</v>
      </c>
      <c r="C206" s="15" t="n">
        <f aca="false">IF(B205&lt;=0.005,0,B205*Compare!$B$4/12)</f>
        <v>0</v>
      </c>
      <c r="D206" s="15" t="n">
        <f aca="false">IF(B205&lt;=0.005,0,MIN(B205+C206,MAX(Compare!$B$7,B205*Compare!$B$5+IF(Compare!$B$6="Yes",C206,0))))</f>
        <v>0</v>
      </c>
      <c r="E206" s="15" t="n">
        <f aca="false">MAX(0,E205+F206-G206)</f>
        <v>0</v>
      </c>
      <c r="F206" s="15" t="n">
        <f aca="false">IF(E205&lt;=0.005,0,E205*Compare!$B$4/12)</f>
        <v>0</v>
      </c>
      <c r="G206" s="15" t="n">
        <f aca="false">IF(E205&lt;=0.005,0,MIN(E205+F206,Compare!$B$9))</f>
        <v>0</v>
      </c>
      <c r="H206" s="15" t="n">
        <f aca="false">MAX(0,H205+I206-J206)</f>
        <v>0</v>
      </c>
      <c r="I206" s="15" t="n">
        <f aca="false">IF(H205&lt;=0.005,0,H205*Compare!$B$4/12)</f>
        <v>0</v>
      </c>
      <c r="J206" s="15" t="n">
        <f aca="false">IF(H205&lt;=0.005,0,MIN(H205+I206,Compare!$B$9+Compare!$B$8))</f>
        <v>0</v>
      </c>
    </row>
    <row r="207" customFormat="false" ht="15" hidden="false" customHeight="false" outlineLevel="0" collapsed="false">
      <c r="A207" s="3" t="n">
        <v>204</v>
      </c>
      <c r="B207" s="15" t="n">
        <f aca="false">MAX(0,B206+C207-D207)</f>
        <v>0</v>
      </c>
      <c r="C207" s="15" t="n">
        <f aca="false">IF(B206&lt;=0.005,0,B206*Compare!$B$4/12)</f>
        <v>0</v>
      </c>
      <c r="D207" s="15" t="n">
        <f aca="false">IF(B206&lt;=0.005,0,MIN(B206+C207,MAX(Compare!$B$7,B206*Compare!$B$5+IF(Compare!$B$6="Yes",C207,0))))</f>
        <v>0</v>
      </c>
      <c r="E207" s="15" t="n">
        <f aca="false">MAX(0,E206+F207-G207)</f>
        <v>0</v>
      </c>
      <c r="F207" s="15" t="n">
        <f aca="false">IF(E206&lt;=0.005,0,E206*Compare!$B$4/12)</f>
        <v>0</v>
      </c>
      <c r="G207" s="15" t="n">
        <f aca="false">IF(E206&lt;=0.005,0,MIN(E206+F207,Compare!$B$9))</f>
        <v>0</v>
      </c>
      <c r="H207" s="15" t="n">
        <f aca="false">MAX(0,H206+I207-J207)</f>
        <v>0</v>
      </c>
      <c r="I207" s="15" t="n">
        <f aca="false">IF(H206&lt;=0.005,0,H206*Compare!$B$4/12)</f>
        <v>0</v>
      </c>
      <c r="J207" s="15" t="n">
        <f aca="false">IF(H206&lt;=0.005,0,MIN(H206+I207,Compare!$B$9+Compare!$B$8))</f>
        <v>0</v>
      </c>
    </row>
    <row r="208" customFormat="false" ht="15" hidden="false" customHeight="false" outlineLevel="0" collapsed="false">
      <c r="A208" s="3" t="n">
        <v>205</v>
      </c>
      <c r="B208" s="15" t="n">
        <f aca="false">MAX(0,B207+C208-D208)</f>
        <v>0</v>
      </c>
      <c r="C208" s="15" t="n">
        <f aca="false">IF(B207&lt;=0.005,0,B207*Compare!$B$4/12)</f>
        <v>0</v>
      </c>
      <c r="D208" s="15" t="n">
        <f aca="false">IF(B207&lt;=0.005,0,MIN(B207+C208,MAX(Compare!$B$7,B207*Compare!$B$5+IF(Compare!$B$6="Yes",C208,0))))</f>
        <v>0</v>
      </c>
      <c r="E208" s="15" t="n">
        <f aca="false">MAX(0,E207+F208-G208)</f>
        <v>0</v>
      </c>
      <c r="F208" s="15" t="n">
        <f aca="false">IF(E207&lt;=0.005,0,E207*Compare!$B$4/12)</f>
        <v>0</v>
      </c>
      <c r="G208" s="15" t="n">
        <f aca="false">IF(E207&lt;=0.005,0,MIN(E207+F208,Compare!$B$9))</f>
        <v>0</v>
      </c>
      <c r="H208" s="15" t="n">
        <f aca="false">MAX(0,H207+I208-J208)</f>
        <v>0</v>
      </c>
      <c r="I208" s="15" t="n">
        <f aca="false">IF(H207&lt;=0.005,0,H207*Compare!$B$4/12)</f>
        <v>0</v>
      </c>
      <c r="J208" s="15" t="n">
        <f aca="false">IF(H207&lt;=0.005,0,MIN(H207+I208,Compare!$B$9+Compare!$B$8))</f>
        <v>0</v>
      </c>
    </row>
    <row r="209" customFormat="false" ht="15" hidden="false" customHeight="false" outlineLevel="0" collapsed="false">
      <c r="A209" s="3" t="n">
        <v>206</v>
      </c>
      <c r="B209" s="15" t="n">
        <f aca="false">MAX(0,B208+C209-D209)</f>
        <v>0</v>
      </c>
      <c r="C209" s="15" t="n">
        <f aca="false">IF(B208&lt;=0.005,0,B208*Compare!$B$4/12)</f>
        <v>0</v>
      </c>
      <c r="D209" s="15" t="n">
        <f aca="false">IF(B208&lt;=0.005,0,MIN(B208+C209,MAX(Compare!$B$7,B208*Compare!$B$5+IF(Compare!$B$6="Yes",C209,0))))</f>
        <v>0</v>
      </c>
      <c r="E209" s="15" t="n">
        <f aca="false">MAX(0,E208+F209-G209)</f>
        <v>0</v>
      </c>
      <c r="F209" s="15" t="n">
        <f aca="false">IF(E208&lt;=0.005,0,E208*Compare!$B$4/12)</f>
        <v>0</v>
      </c>
      <c r="G209" s="15" t="n">
        <f aca="false">IF(E208&lt;=0.005,0,MIN(E208+F209,Compare!$B$9))</f>
        <v>0</v>
      </c>
      <c r="H209" s="15" t="n">
        <f aca="false">MAX(0,H208+I209-J209)</f>
        <v>0</v>
      </c>
      <c r="I209" s="15" t="n">
        <f aca="false">IF(H208&lt;=0.005,0,H208*Compare!$B$4/12)</f>
        <v>0</v>
      </c>
      <c r="J209" s="15" t="n">
        <f aca="false">IF(H208&lt;=0.005,0,MIN(H208+I209,Compare!$B$9+Compare!$B$8))</f>
        <v>0</v>
      </c>
    </row>
    <row r="210" customFormat="false" ht="15" hidden="false" customHeight="false" outlineLevel="0" collapsed="false">
      <c r="A210" s="3" t="n">
        <v>207</v>
      </c>
      <c r="B210" s="15" t="n">
        <f aca="false">MAX(0,B209+C210-D210)</f>
        <v>0</v>
      </c>
      <c r="C210" s="15" t="n">
        <f aca="false">IF(B209&lt;=0.005,0,B209*Compare!$B$4/12)</f>
        <v>0</v>
      </c>
      <c r="D210" s="15" t="n">
        <f aca="false">IF(B209&lt;=0.005,0,MIN(B209+C210,MAX(Compare!$B$7,B209*Compare!$B$5+IF(Compare!$B$6="Yes",C210,0))))</f>
        <v>0</v>
      </c>
      <c r="E210" s="15" t="n">
        <f aca="false">MAX(0,E209+F210-G210)</f>
        <v>0</v>
      </c>
      <c r="F210" s="15" t="n">
        <f aca="false">IF(E209&lt;=0.005,0,E209*Compare!$B$4/12)</f>
        <v>0</v>
      </c>
      <c r="G210" s="15" t="n">
        <f aca="false">IF(E209&lt;=0.005,0,MIN(E209+F210,Compare!$B$9))</f>
        <v>0</v>
      </c>
      <c r="H210" s="15" t="n">
        <f aca="false">MAX(0,H209+I210-J210)</f>
        <v>0</v>
      </c>
      <c r="I210" s="15" t="n">
        <f aca="false">IF(H209&lt;=0.005,0,H209*Compare!$B$4/12)</f>
        <v>0</v>
      </c>
      <c r="J210" s="15" t="n">
        <f aca="false">IF(H209&lt;=0.005,0,MIN(H209+I210,Compare!$B$9+Compare!$B$8))</f>
        <v>0</v>
      </c>
    </row>
    <row r="211" customFormat="false" ht="15" hidden="false" customHeight="false" outlineLevel="0" collapsed="false">
      <c r="A211" s="3" t="n">
        <v>208</v>
      </c>
      <c r="B211" s="15" t="n">
        <f aca="false">MAX(0,B210+C211-D211)</f>
        <v>0</v>
      </c>
      <c r="C211" s="15" t="n">
        <f aca="false">IF(B210&lt;=0.005,0,B210*Compare!$B$4/12)</f>
        <v>0</v>
      </c>
      <c r="D211" s="15" t="n">
        <f aca="false">IF(B210&lt;=0.005,0,MIN(B210+C211,MAX(Compare!$B$7,B210*Compare!$B$5+IF(Compare!$B$6="Yes",C211,0))))</f>
        <v>0</v>
      </c>
      <c r="E211" s="15" t="n">
        <f aca="false">MAX(0,E210+F211-G211)</f>
        <v>0</v>
      </c>
      <c r="F211" s="15" t="n">
        <f aca="false">IF(E210&lt;=0.005,0,E210*Compare!$B$4/12)</f>
        <v>0</v>
      </c>
      <c r="G211" s="15" t="n">
        <f aca="false">IF(E210&lt;=0.005,0,MIN(E210+F211,Compare!$B$9))</f>
        <v>0</v>
      </c>
      <c r="H211" s="15" t="n">
        <f aca="false">MAX(0,H210+I211-J211)</f>
        <v>0</v>
      </c>
      <c r="I211" s="15" t="n">
        <f aca="false">IF(H210&lt;=0.005,0,H210*Compare!$B$4/12)</f>
        <v>0</v>
      </c>
      <c r="J211" s="15" t="n">
        <f aca="false">IF(H210&lt;=0.005,0,MIN(H210+I211,Compare!$B$9+Compare!$B$8))</f>
        <v>0</v>
      </c>
    </row>
    <row r="212" customFormat="false" ht="15" hidden="false" customHeight="false" outlineLevel="0" collapsed="false">
      <c r="A212" s="3" t="n">
        <v>209</v>
      </c>
      <c r="B212" s="15" t="n">
        <f aca="false">MAX(0,B211+C212-D212)</f>
        <v>0</v>
      </c>
      <c r="C212" s="15" t="n">
        <f aca="false">IF(B211&lt;=0.005,0,B211*Compare!$B$4/12)</f>
        <v>0</v>
      </c>
      <c r="D212" s="15" t="n">
        <f aca="false">IF(B211&lt;=0.005,0,MIN(B211+C212,MAX(Compare!$B$7,B211*Compare!$B$5+IF(Compare!$B$6="Yes",C212,0))))</f>
        <v>0</v>
      </c>
      <c r="E212" s="15" t="n">
        <f aca="false">MAX(0,E211+F212-G212)</f>
        <v>0</v>
      </c>
      <c r="F212" s="15" t="n">
        <f aca="false">IF(E211&lt;=0.005,0,E211*Compare!$B$4/12)</f>
        <v>0</v>
      </c>
      <c r="G212" s="15" t="n">
        <f aca="false">IF(E211&lt;=0.005,0,MIN(E211+F212,Compare!$B$9))</f>
        <v>0</v>
      </c>
      <c r="H212" s="15" t="n">
        <f aca="false">MAX(0,H211+I212-J212)</f>
        <v>0</v>
      </c>
      <c r="I212" s="15" t="n">
        <f aca="false">IF(H211&lt;=0.005,0,H211*Compare!$B$4/12)</f>
        <v>0</v>
      </c>
      <c r="J212" s="15" t="n">
        <f aca="false">IF(H211&lt;=0.005,0,MIN(H211+I212,Compare!$B$9+Compare!$B$8))</f>
        <v>0</v>
      </c>
    </row>
    <row r="213" customFormat="false" ht="15" hidden="false" customHeight="false" outlineLevel="0" collapsed="false">
      <c r="A213" s="3" t="n">
        <v>210</v>
      </c>
      <c r="B213" s="15" t="n">
        <f aca="false">MAX(0,B212+C213-D213)</f>
        <v>0</v>
      </c>
      <c r="C213" s="15" t="n">
        <f aca="false">IF(B212&lt;=0.005,0,B212*Compare!$B$4/12)</f>
        <v>0</v>
      </c>
      <c r="D213" s="15" t="n">
        <f aca="false">IF(B212&lt;=0.005,0,MIN(B212+C213,MAX(Compare!$B$7,B212*Compare!$B$5+IF(Compare!$B$6="Yes",C213,0))))</f>
        <v>0</v>
      </c>
      <c r="E213" s="15" t="n">
        <f aca="false">MAX(0,E212+F213-G213)</f>
        <v>0</v>
      </c>
      <c r="F213" s="15" t="n">
        <f aca="false">IF(E212&lt;=0.005,0,E212*Compare!$B$4/12)</f>
        <v>0</v>
      </c>
      <c r="G213" s="15" t="n">
        <f aca="false">IF(E212&lt;=0.005,0,MIN(E212+F213,Compare!$B$9))</f>
        <v>0</v>
      </c>
      <c r="H213" s="15" t="n">
        <f aca="false">MAX(0,H212+I213-J213)</f>
        <v>0</v>
      </c>
      <c r="I213" s="15" t="n">
        <f aca="false">IF(H212&lt;=0.005,0,H212*Compare!$B$4/12)</f>
        <v>0</v>
      </c>
      <c r="J213" s="15" t="n">
        <f aca="false">IF(H212&lt;=0.005,0,MIN(H212+I213,Compare!$B$9+Compare!$B$8))</f>
        <v>0</v>
      </c>
    </row>
    <row r="214" customFormat="false" ht="15" hidden="false" customHeight="false" outlineLevel="0" collapsed="false">
      <c r="A214" s="3" t="n">
        <v>211</v>
      </c>
      <c r="B214" s="15" t="n">
        <f aca="false">MAX(0,B213+C214-D214)</f>
        <v>0</v>
      </c>
      <c r="C214" s="15" t="n">
        <f aca="false">IF(B213&lt;=0.005,0,B213*Compare!$B$4/12)</f>
        <v>0</v>
      </c>
      <c r="D214" s="15" t="n">
        <f aca="false">IF(B213&lt;=0.005,0,MIN(B213+C214,MAX(Compare!$B$7,B213*Compare!$B$5+IF(Compare!$B$6="Yes",C214,0))))</f>
        <v>0</v>
      </c>
      <c r="E214" s="15" t="n">
        <f aca="false">MAX(0,E213+F214-G214)</f>
        <v>0</v>
      </c>
      <c r="F214" s="15" t="n">
        <f aca="false">IF(E213&lt;=0.005,0,E213*Compare!$B$4/12)</f>
        <v>0</v>
      </c>
      <c r="G214" s="15" t="n">
        <f aca="false">IF(E213&lt;=0.005,0,MIN(E213+F214,Compare!$B$9))</f>
        <v>0</v>
      </c>
      <c r="H214" s="15" t="n">
        <f aca="false">MAX(0,H213+I214-J214)</f>
        <v>0</v>
      </c>
      <c r="I214" s="15" t="n">
        <f aca="false">IF(H213&lt;=0.005,0,H213*Compare!$B$4/12)</f>
        <v>0</v>
      </c>
      <c r="J214" s="15" t="n">
        <f aca="false">IF(H213&lt;=0.005,0,MIN(H213+I214,Compare!$B$9+Compare!$B$8))</f>
        <v>0</v>
      </c>
    </row>
    <row r="215" customFormat="false" ht="15" hidden="false" customHeight="false" outlineLevel="0" collapsed="false">
      <c r="A215" s="3" t="n">
        <v>212</v>
      </c>
      <c r="B215" s="15" t="n">
        <f aca="false">MAX(0,B214+C215-D215)</f>
        <v>0</v>
      </c>
      <c r="C215" s="15" t="n">
        <f aca="false">IF(B214&lt;=0.005,0,B214*Compare!$B$4/12)</f>
        <v>0</v>
      </c>
      <c r="D215" s="15" t="n">
        <f aca="false">IF(B214&lt;=0.005,0,MIN(B214+C215,MAX(Compare!$B$7,B214*Compare!$B$5+IF(Compare!$B$6="Yes",C215,0))))</f>
        <v>0</v>
      </c>
      <c r="E215" s="15" t="n">
        <f aca="false">MAX(0,E214+F215-G215)</f>
        <v>0</v>
      </c>
      <c r="F215" s="15" t="n">
        <f aca="false">IF(E214&lt;=0.005,0,E214*Compare!$B$4/12)</f>
        <v>0</v>
      </c>
      <c r="G215" s="15" t="n">
        <f aca="false">IF(E214&lt;=0.005,0,MIN(E214+F215,Compare!$B$9))</f>
        <v>0</v>
      </c>
      <c r="H215" s="15" t="n">
        <f aca="false">MAX(0,H214+I215-J215)</f>
        <v>0</v>
      </c>
      <c r="I215" s="15" t="n">
        <f aca="false">IF(H214&lt;=0.005,0,H214*Compare!$B$4/12)</f>
        <v>0</v>
      </c>
      <c r="J215" s="15" t="n">
        <f aca="false">IF(H214&lt;=0.005,0,MIN(H214+I215,Compare!$B$9+Compare!$B$8))</f>
        <v>0</v>
      </c>
    </row>
    <row r="216" customFormat="false" ht="15" hidden="false" customHeight="false" outlineLevel="0" collapsed="false">
      <c r="A216" s="3" t="n">
        <v>213</v>
      </c>
      <c r="B216" s="15" t="n">
        <f aca="false">MAX(0,B215+C216-D216)</f>
        <v>0</v>
      </c>
      <c r="C216" s="15" t="n">
        <f aca="false">IF(B215&lt;=0.005,0,B215*Compare!$B$4/12)</f>
        <v>0</v>
      </c>
      <c r="D216" s="15" t="n">
        <f aca="false">IF(B215&lt;=0.005,0,MIN(B215+C216,MAX(Compare!$B$7,B215*Compare!$B$5+IF(Compare!$B$6="Yes",C216,0))))</f>
        <v>0</v>
      </c>
      <c r="E216" s="15" t="n">
        <f aca="false">MAX(0,E215+F216-G216)</f>
        <v>0</v>
      </c>
      <c r="F216" s="15" t="n">
        <f aca="false">IF(E215&lt;=0.005,0,E215*Compare!$B$4/12)</f>
        <v>0</v>
      </c>
      <c r="G216" s="15" t="n">
        <f aca="false">IF(E215&lt;=0.005,0,MIN(E215+F216,Compare!$B$9))</f>
        <v>0</v>
      </c>
      <c r="H216" s="15" t="n">
        <f aca="false">MAX(0,H215+I216-J216)</f>
        <v>0</v>
      </c>
      <c r="I216" s="15" t="n">
        <f aca="false">IF(H215&lt;=0.005,0,H215*Compare!$B$4/12)</f>
        <v>0</v>
      </c>
      <c r="J216" s="15" t="n">
        <f aca="false">IF(H215&lt;=0.005,0,MIN(H215+I216,Compare!$B$9+Compare!$B$8))</f>
        <v>0</v>
      </c>
    </row>
    <row r="217" customFormat="false" ht="15" hidden="false" customHeight="false" outlineLevel="0" collapsed="false">
      <c r="A217" s="3" t="n">
        <v>214</v>
      </c>
      <c r="B217" s="15" t="n">
        <f aca="false">MAX(0,B216+C217-D217)</f>
        <v>0</v>
      </c>
      <c r="C217" s="15" t="n">
        <f aca="false">IF(B216&lt;=0.005,0,B216*Compare!$B$4/12)</f>
        <v>0</v>
      </c>
      <c r="D217" s="15" t="n">
        <f aca="false">IF(B216&lt;=0.005,0,MIN(B216+C217,MAX(Compare!$B$7,B216*Compare!$B$5+IF(Compare!$B$6="Yes",C217,0))))</f>
        <v>0</v>
      </c>
      <c r="E217" s="15" t="n">
        <f aca="false">MAX(0,E216+F217-G217)</f>
        <v>0</v>
      </c>
      <c r="F217" s="15" t="n">
        <f aca="false">IF(E216&lt;=0.005,0,E216*Compare!$B$4/12)</f>
        <v>0</v>
      </c>
      <c r="G217" s="15" t="n">
        <f aca="false">IF(E216&lt;=0.005,0,MIN(E216+F217,Compare!$B$9))</f>
        <v>0</v>
      </c>
      <c r="H217" s="15" t="n">
        <f aca="false">MAX(0,H216+I217-J217)</f>
        <v>0</v>
      </c>
      <c r="I217" s="15" t="n">
        <f aca="false">IF(H216&lt;=0.005,0,H216*Compare!$B$4/12)</f>
        <v>0</v>
      </c>
      <c r="J217" s="15" t="n">
        <f aca="false">IF(H216&lt;=0.005,0,MIN(H216+I217,Compare!$B$9+Compare!$B$8))</f>
        <v>0</v>
      </c>
    </row>
    <row r="218" customFormat="false" ht="15" hidden="false" customHeight="false" outlineLevel="0" collapsed="false">
      <c r="A218" s="3" t="n">
        <v>215</v>
      </c>
      <c r="B218" s="15" t="n">
        <f aca="false">MAX(0,B217+C218-D218)</f>
        <v>0</v>
      </c>
      <c r="C218" s="15" t="n">
        <f aca="false">IF(B217&lt;=0.005,0,B217*Compare!$B$4/12)</f>
        <v>0</v>
      </c>
      <c r="D218" s="15" t="n">
        <f aca="false">IF(B217&lt;=0.005,0,MIN(B217+C218,MAX(Compare!$B$7,B217*Compare!$B$5+IF(Compare!$B$6="Yes",C218,0))))</f>
        <v>0</v>
      </c>
      <c r="E218" s="15" t="n">
        <f aca="false">MAX(0,E217+F218-G218)</f>
        <v>0</v>
      </c>
      <c r="F218" s="15" t="n">
        <f aca="false">IF(E217&lt;=0.005,0,E217*Compare!$B$4/12)</f>
        <v>0</v>
      </c>
      <c r="G218" s="15" t="n">
        <f aca="false">IF(E217&lt;=0.005,0,MIN(E217+F218,Compare!$B$9))</f>
        <v>0</v>
      </c>
      <c r="H218" s="15" t="n">
        <f aca="false">MAX(0,H217+I218-J218)</f>
        <v>0</v>
      </c>
      <c r="I218" s="15" t="n">
        <f aca="false">IF(H217&lt;=0.005,0,H217*Compare!$B$4/12)</f>
        <v>0</v>
      </c>
      <c r="J218" s="15" t="n">
        <f aca="false">IF(H217&lt;=0.005,0,MIN(H217+I218,Compare!$B$9+Compare!$B$8))</f>
        <v>0</v>
      </c>
    </row>
    <row r="219" customFormat="false" ht="15" hidden="false" customHeight="false" outlineLevel="0" collapsed="false">
      <c r="A219" s="3" t="n">
        <v>216</v>
      </c>
      <c r="B219" s="15" t="n">
        <f aca="false">MAX(0,B218+C219-D219)</f>
        <v>0</v>
      </c>
      <c r="C219" s="15" t="n">
        <f aca="false">IF(B218&lt;=0.005,0,B218*Compare!$B$4/12)</f>
        <v>0</v>
      </c>
      <c r="D219" s="15" t="n">
        <f aca="false">IF(B218&lt;=0.005,0,MIN(B218+C219,MAX(Compare!$B$7,B218*Compare!$B$5+IF(Compare!$B$6="Yes",C219,0))))</f>
        <v>0</v>
      </c>
      <c r="E219" s="15" t="n">
        <f aca="false">MAX(0,E218+F219-G219)</f>
        <v>0</v>
      </c>
      <c r="F219" s="15" t="n">
        <f aca="false">IF(E218&lt;=0.005,0,E218*Compare!$B$4/12)</f>
        <v>0</v>
      </c>
      <c r="G219" s="15" t="n">
        <f aca="false">IF(E218&lt;=0.005,0,MIN(E218+F219,Compare!$B$9))</f>
        <v>0</v>
      </c>
      <c r="H219" s="15" t="n">
        <f aca="false">MAX(0,H218+I219-J219)</f>
        <v>0</v>
      </c>
      <c r="I219" s="15" t="n">
        <f aca="false">IF(H218&lt;=0.005,0,H218*Compare!$B$4/12)</f>
        <v>0</v>
      </c>
      <c r="J219" s="15" t="n">
        <f aca="false">IF(H218&lt;=0.005,0,MIN(H218+I219,Compare!$B$9+Compare!$B$8))</f>
        <v>0</v>
      </c>
    </row>
    <row r="220" customFormat="false" ht="15" hidden="false" customHeight="false" outlineLevel="0" collapsed="false">
      <c r="A220" s="3" t="n">
        <v>217</v>
      </c>
      <c r="B220" s="15" t="n">
        <f aca="false">MAX(0,B219+C220-D220)</f>
        <v>0</v>
      </c>
      <c r="C220" s="15" t="n">
        <f aca="false">IF(B219&lt;=0.005,0,B219*Compare!$B$4/12)</f>
        <v>0</v>
      </c>
      <c r="D220" s="15" t="n">
        <f aca="false">IF(B219&lt;=0.005,0,MIN(B219+C220,MAX(Compare!$B$7,B219*Compare!$B$5+IF(Compare!$B$6="Yes",C220,0))))</f>
        <v>0</v>
      </c>
      <c r="E220" s="15" t="n">
        <f aca="false">MAX(0,E219+F220-G220)</f>
        <v>0</v>
      </c>
      <c r="F220" s="15" t="n">
        <f aca="false">IF(E219&lt;=0.005,0,E219*Compare!$B$4/12)</f>
        <v>0</v>
      </c>
      <c r="G220" s="15" t="n">
        <f aca="false">IF(E219&lt;=0.005,0,MIN(E219+F220,Compare!$B$9))</f>
        <v>0</v>
      </c>
      <c r="H220" s="15" t="n">
        <f aca="false">MAX(0,H219+I220-J220)</f>
        <v>0</v>
      </c>
      <c r="I220" s="15" t="n">
        <f aca="false">IF(H219&lt;=0.005,0,H219*Compare!$B$4/12)</f>
        <v>0</v>
      </c>
      <c r="J220" s="15" t="n">
        <f aca="false">IF(H219&lt;=0.005,0,MIN(H219+I220,Compare!$B$9+Compare!$B$8))</f>
        <v>0</v>
      </c>
    </row>
    <row r="221" customFormat="false" ht="15" hidden="false" customHeight="false" outlineLevel="0" collapsed="false">
      <c r="A221" s="3" t="n">
        <v>218</v>
      </c>
      <c r="B221" s="15" t="n">
        <f aca="false">MAX(0,B220+C221-D221)</f>
        <v>0</v>
      </c>
      <c r="C221" s="15" t="n">
        <f aca="false">IF(B220&lt;=0.005,0,B220*Compare!$B$4/12)</f>
        <v>0</v>
      </c>
      <c r="D221" s="15" t="n">
        <f aca="false">IF(B220&lt;=0.005,0,MIN(B220+C221,MAX(Compare!$B$7,B220*Compare!$B$5+IF(Compare!$B$6="Yes",C221,0))))</f>
        <v>0</v>
      </c>
      <c r="E221" s="15" t="n">
        <f aca="false">MAX(0,E220+F221-G221)</f>
        <v>0</v>
      </c>
      <c r="F221" s="15" t="n">
        <f aca="false">IF(E220&lt;=0.005,0,E220*Compare!$B$4/12)</f>
        <v>0</v>
      </c>
      <c r="G221" s="15" t="n">
        <f aca="false">IF(E220&lt;=0.005,0,MIN(E220+F221,Compare!$B$9))</f>
        <v>0</v>
      </c>
      <c r="H221" s="15" t="n">
        <f aca="false">MAX(0,H220+I221-J221)</f>
        <v>0</v>
      </c>
      <c r="I221" s="15" t="n">
        <f aca="false">IF(H220&lt;=0.005,0,H220*Compare!$B$4/12)</f>
        <v>0</v>
      </c>
      <c r="J221" s="15" t="n">
        <f aca="false">IF(H220&lt;=0.005,0,MIN(H220+I221,Compare!$B$9+Compare!$B$8))</f>
        <v>0</v>
      </c>
    </row>
    <row r="222" customFormat="false" ht="15" hidden="false" customHeight="false" outlineLevel="0" collapsed="false">
      <c r="A222" s="3" t="n">
        <v>219</v>
      </c>
      <c r="B222" s="15" t="n">
        <f aca="false">MAX(0,B221+C222-D222)</f>
        <v>0</v>
      </c>
      <c r="C222" s="15" t="n">
        <f aca="false">IF(B221&lt;=0.005,0,B221*Compare!$B$4/12)</f>
        <v>0</v>
      </c>
      <c r="D222" s="15" t="n">
        <f aca="false">IF(B221&lt;=0.005,0,MIN(B221+C222,MAX(Compare!$B$7,B221*Compare!$B$5+IF(Compare!$B$6="Yes",C222,0))))</f>
        <v>0</v>
      </c>
      <c r="E222" s="15" t="n">
        <f aca="false">MAX(0,E221+F222-G222)</f>
        <v>0</v>
      </c>
      <c r="F222" s="15" t="n">
        <f aca="false">IF(E221&lt;=0.005,0,E221*Compare!$B$4/12)</f>
        <v>0</v>
      </c>
      <c r="G222" s="15" t="n">
        <f aca="false">IF(E221&lt;=0.005,0,MIN(E221+F222,Compare!$B$9))</f>
        <v>0</v>
      </c>
      <c r="H222" s="15" t="n">
        <f aca="false">MAX(0,H221+I222-J222)</f>
        <v>0</v>
      </c>
      <c r="I222" s="15" t="n">
        <f aca="false">IF(H221&lt;=0.005,0,H221*Compare!$B$4/12)</f>
        <v>0</v>
      </c>
      <c r="J222" s="15" t="n">
        <f aca="false">IF(H221&lt;=0.005,0,MIN(H221+I222,Compare!$B$9+Compare!$B$8))</f>
        <v>0</v>
      </c>
    </row>
    <row r="223" customFormat="false" ht="15" hidden="false" customHeight="false" outlineLevel="0" collapsed="false">
      <c r="A223" s="3" t="n">
        <v>220</v>
      </c>
      <c r="B223" s="15" t="n">
        <f aca="false">MAX(0,B222+C223-D223)</f>
        <v>0</v>
      </c>
      <c r="C223" s="15" t="n">
        <f aca="false">IF(B222&lt;=0.005,0,B222*Compare!$B$4/12)</f>
        <v>0</v>
      </c>
      <c r="D223" s="15" t="n">
        <f aca="false">IF(B222&lt;=0.005,0,MIN(B222+C223,MAX(Compare!$B$7,B222*Compare!$B$5+IF(Compare!$B$6="Yes",C223,0))))</f>
        <v>0</v>
      </c>
      <c r="E223" s="15" t="n">
        <f aca="false">MAX(0,E222+F223-G223)</f>
        <v>0</v>
      </c>
      <c r="F223" s="15" t="n">
        <f aca="false">IF(E222&lt;=0.005,0,E222*Compare!$B$4/12)</f>
        <v>0</v>
      </c>
      <c r="G223" s="15" t="n">
        <f aca="false">IF(E222&lt;=0.005,0,MIN(E222+F223,Compare!$B$9))</f>
        <v>0</v>
      </c>
      <c r="H223" s="15" t="n">
        <f aca="false">MAX(0,H222+I223-J223)</f>
        <v>0</v>
      </c>
      <c r="I223" s="15" t="n">
        <f aca="false">IF(H222&lt;=0.005,0,H222*Compare!$B$4/12)</f>
        <v>0</v>
      </c>
      <c r="J223" s="15" t="n">
        <f aca="false">IF(H222&lt;=0.005,0,MIN(H222+I223,Compare!$B$9+Compare!$B$8))</f>
        <v>0</v>
      </c>
    </row>
    <row r="224" customFormat="false" ht="15" hidden="false" customHeight="false" outlineLevel="0" collapsed="false">
      <c r="A224" s="3" t="n">
        <v>221</v>
      </c>
      <c r="B224" s="15" t="n">
        <f aca="false">MAX(0,B223+C224-D224)</f>
        <v>0</v>
      </c>
      <c r="C224" s="15" t="n">
        <f aca="false">IF(B223&lt;=0.005,0,B223*Compare!$B$4/12)</f>
        <v>0</v>
      </c>
      <c r="D224" s="15" t="n">
        <f aca="false">IF(B223&lt;=0.005,0,MIN(B223+C224,MAX(Compare!$B$7,B223*Compare!$B$5+IF(Compare!$B$6="Yes",C224,0))))</f>
        <v>0</v>
      </c>
      <c r="E224" s="15" t="n">
        <f aca="false">MAX(0,E223+F224-G224)</f>
        <v>0</v>
      </c>
      <c r="F224" s="15" t="n">
        <f aca="false">IF(E223&lt;=0.005,0,E223*Compare!$B$4/12)</f>
        <v>0</v>
      </c>
      <c r="G224" s="15" t="n">
        <f aca="false">IF(E223&lt;=0.005,0,MIN(E223+F224,Compare!$B$9))</f>
        <v>0</v>
      </c>
      <c r="H224" s="15" t="n">
        <f aca="false">MAX(0,H223+I224-J224)</f>
        <v>0</v>
      </c>
      <c r="I224" s="15" t="n">
        <f aca="false">IF(H223&lt;=0.005,0,H223*Compare!$B$4/12)</f>
        <v>0</v>
      </c>
      <c r="J224" s="15" t="n">
        <f aca="false">IF(H223&lt;=0.005,0,MIN(H223+I224,Compare!$B$9+Compare!$B$8))</f>
        <v>0</v>
      </c>
    </row>
    <row r="225" customFormat="false" ht="15" hidden="false" customHeight="false" outlineLevel="0" collapsed="false">
      <c r="A225" s="3" t="n">
        <v>222</v>
      </c>
      <c r="B225" s="15" t="n">
        <f aca="false">MAX(0,B224+C225-D225)</f>
        <v>0</v>
      </c>
      <c r="C225" s="15" t="n">
        <f aca="false">IF(B224&lt;=0.005,0,B224*Compare!$B$4/12)</f>
        <v>0</v>
      </c>
      <c r="D225" s="15" t="n">
        <f aca="false">IF(B224&lt;=0.005,0,MIN(B224+C225,MAX(Compare!$B$7,B224*Compare!$B$5+IF(Compare!$B$6="Yes",C225,0))))</f>
        <v>0</v>
      </c>
      <c r="E225" s="15" t="n">
        <f aca="false">MAX(0,E224+F225-G225)</f>
        <v>0</v>
      </c>
      <c r="F225" s="15" t="n">
        <f aca="false">IF(E224&lt;=0.005,0,E224*Compare!$B$4/12)</f>
        <v>0</v>
      </c>
      <c r="G225" s="15" t="n">
        <f aca="false">IF(E224&lt;=0.005,0,MIN(E224+F225,Compare!$B$9))</f>
        <v>0</v>
      </c>
      <c r="H225" s="15" t="n">
        <f aca="false">MAX(0,H224+I225-J225)</f>
        <v>0</v>
      </c>
      <c r="I225" s="15" t="n">
        <f aca="false">IF(H224&lt;=0.005,0,H224*Compare!$B$4/12)</f>
        <v>0</v>
      </c>
      <c r="J225" s="15" t="n">
        <f aca="false">IF(H224&lt;=0.005,0,MIN(H224+I225,Compare!$B$9+Compare!$B$8))</f>
        <v>0</v>
      </c>
    </row>
    <row r="226" customFormat="false" ht="15" hidden="false" customHeight="false" outlineLevel="0" collapsed="false">
      <c r="A226" s="3" t="n">
        <v>223</v>
      </c>
      <c r="B226" s="15" t="n">
        <f aca="false">MAX(0,B225+C226-D226)</f>
        <v>0</v>
      </c>
      <c r="C226" s="15" t="n">
        <f aca="false">IF(B225&lt;=0.005,0,B225*Compare!$B$4/12)</f>
        <v>0</v>
      </c>
      <c r="D226" s="15" t="n">
        <f aca="false">IF(B225&lt;=0.005,0,MIN(B225+C226,MAX(Compare!$B$7,B225*Compare!$B$5+IF(Compare!$B$6="Yes",C226,0))))</f>
        <v>0</v>
      </c>
      <c r="E226" s="15" t="n">
        <f aca="false">MAX(0,E225+F226-G226)</f>
        <v>0</v>
      </c>
      <c r="F226" s="15" t="n">
        <f aca="false">IF(E225&lt;=0.005,0,E225*Compare!$B$4/12)</f>
        <v>0</v>
      </c>
      <c r="G226" s="15" t="n">
        <f aca="false">IF(E225&lt;=0.005,0,MIN(E225+F226,Compare!$B$9))</f>
        <v>0</v>
      </c>
      <c r="H226" s="15" t="n">
        <f aca="false">MAX(0,H225+I226-J226)</f>
        <v>0</v>
      </c>
      <c r="I226" s="15" t="n">
        <f aca="false">IF(H225&lt;=0.005,0,H225*Compare!$B$4/12)</f>
        <v>0</v>
      </c>
      <c r="J226" s="15" t="n">
        <f aca="false">IF(H225&lt;=0.005,0,MIN(H225+I226,Compare!$B$9+Compare!$B$8))</f>
        <v>0</v>
      </c>
    </row>
    <row r="227" customFormat="false" ht="15" hidden="false" customHeight="false" outlineLevel="0" collapsed="false">
      <c r="A227" s="3" t="n">
        <v>224</v>
      </c>
      <c r="B227" s="15" t="n">
        <f aca="false">MAX(0,B226+C227-D227)</f>
        <v>0</v>
      </c>
      <c r="C227" s="15" t="n">
        <f aca="false">IF(B226&lt;=0.005,0,B226*Compare!$B$4/12)</f>
        <v>0</v>
      </c>
      <c r="D227" s="15" t="n">
        <f aca="false">IF(B226&lt;=0.005,0,MIN(B226+C227,MAX(Compare!$B$7,B226*Compare!$B$5+IF(Compare!$B$6="Yes",C227,0))))</f>
        <v>0</v>
      </c>
      <c r="E227" s="15" t="n">
        <f aca="false">MAX(0,E226+F227-G227)</f>
        <v>0</v>
      </c>
      <c r="F227" s="15" t="n">
        <f aca="false">IF(E226&lt;=0.005,0,E226*Compare!$B$4/12)</f>
        <v>0</v>
      </c>
      <c r="G227" s="15" t="n">
        <f aca="false">IF(E226&lt;=0.005,0,MIN(E226+F227,Compare!$B$9))</f>
        <v>0</v>
      </c>
      <c r="H227" s="15" t="n">
        <f aca="false">MAX(0,H226+I227-J227)</f>
        <v>0</v>
      </c>
      <c r="I227" s="15" t="n">
        <f aca="false">IF(H226&lt;=0.005,0,H226*Compare!$B$4/12)</f>
        <v>0</v>
      </c>
      <c r="J227" s="15" t="n">
        <f aca="false">IF(H226&lt;=0.005,0,MIN(H226+I227,Compare!$B$9+Compare!$B$8))</f>
        <v>0</v>
      </c>
    </row>
    <row r="228" customFormat="false" ht="15" hidden="false" customHeight="false" outlineLevel="0" collapsed="false">
      <c r="A228" s="3" t="n">
        <v>225</v>
      </c>
      <c r="B228" s="15" t="n">
        <f aca="false">MAX(0,B227+C228-D228)</f>
        <v>0</v>
      </c>
      <c r="C228" s="15" t="n">
        <f aca="false">IF(B227&lt;=0.005,0,B227*Compare!$B$4/12)</f>
        <v>0</v>
      </c>
      <c r="D228" s="15" t="n">
        <f aca="false">IF(B227&lt;=0.005,0,MIN(B227+C228,MAX(Compare!$B$7,B227*Compare!$B$5+IF(Compare!$B$6="Yes",C228,0))))</f>
        <v>0</v>
      </c>
      <c r="E228" s="15" t="n">
        <f aca="false">MAX(0,E227+F228-G228)</f>
        <v>0</v>
      </c>
      <c r="F228" s="15" t="n">
        <f aca="false">IF(E227&lt;=0.005,0,E227*Compare!$B$4/12)</f>
        <v>0</v>
      </c>
      <c r="G228" s="15" t="n">
        <f aca="false">IF(E227&lt;=0.005,0,MIN(E227+F228,Compare!$B$9))</f>
        <v>0</v>
      </c>
      <c r="H228" s="15" t="n">
        <f aca="false">MAX(0,H227+I228-J228)</f>
        <v>0</v>
      </c>
      <c r="I228" s="15" t="n">
        <f aca="false">IF(H227&lt;=0.005,0,H227*Compare!$B$4/12)</f>
        <v>0</v>
      </c>
      <c r="J228" s="15" t="n">
        <f aca="false">IF(H227&lt;=0.005,0,MIN(H227+I228,Compare!$B$9+Compare!$B$8))</f>
        <v>0</v>
      </c>
    </row>
    <row r="229" customFormat="false" ht="15" hidden="false" customHeight="false" outlineLevel="0" collapsed="false">
      <c r="A229" s="3" t="n">
        <v>226</v>
      </c>
      <c r="B229" s="15" t="n">
        <f aca="false">MAX(0,B228+C229-D229)</f>
        <v>0</v>
      </c>
      <c r="C229" s="15" t="n">
        <f aca="false">IF(B228&lt;=0.005,0,B228*Compare!$B$4/12)</f>
        <v>0</v>
      </c>
      <c r="D229" s="15" t="n">
        <f aca="false">IF(B228&lt;=0.005,0,MIN(B228+C229,MAX(Compare!$B$7,B228*Compare!$B$5+IF(Compare!$B$6="Yes",C229,0))))</f>
        <v>0</v>
      </c>
      <c r="E229" s="15" t="n">
        <f aca="false">MAX(0,E228+F229-G229)</f>
        <v>0</v>
      </c>
      <c r="F229" s="15" t="n">
        <f aca="false">IF(E228&lt;=0.005,0,E228*Compare!$B$4/12)</f>
        <v>0</v>
      </c>
      <c r="G229" s="15" t="n">
        <f aca="false">IF(E228&lt;=0.005,0,MIN(E228+F229,Compare!$B$9))</f>
        <v>0</v>
      </c>
      <c r="H229" s="15" t="n">
        <f aca="false">MAX(0,H228+I229-J229)</f>
        <v>0</v>
      </c>
      <c r="I229" s="15" t="n">
        <f aca="false">IF(H228&lt;=0.005,0,H228*Compare!$B$4/12)</f>
        <v>0</v>
      </c>
      <c r="J229" s="15" t="n">
        <f aca="false">IF(H228&lt;=0.005,0,MIN(H228+I229,Compare!$B$9+Compare!$B$8))</f>
        <v>0</v>
      </c>
    </row>
    <row r="230" customFormat="false" ht="15" hidden="false" customHeight="false" outlineLevel="0" collapsed="false">
      <c r="A230" s="3" t="n">
        <v>227</v>
      </c>
      <c r="B230" s="15" t="n">
        <f aca="false">MAX(0,B229+C230-D230)</f>
        <v>0</v>
      </c>
      <c r="C230" s="15" t="n">
        <f aca="false">IF(B229&lt;=0.005,0,B229*Compare!$B$4/12)</f>
        <v>0</v>
      </c>
      <c r="D230" s="15" t="n">
        <f aca="false">IF(B229&lt;=0.005,0,MIN(B229+C230,MAX(Compare!$B$7,B229*Compare!$B$5+IF(Compare!$B$6="Yes",C230,0))))</f>
        <v>0</v>
      </c>
      <c r="E230" s="15" t="n">
        <f aca="false">MAX(0,E229+F230-G230)</f>
        <v>0</v>
      </c>
      <c r="F230" s="15" t="n">
        <f aca="false">IF(E229&lt;=0.005,0,E229*Compare!$B$4/12)</f>
        <v>0</v>
      </c>
      <c r="G230" s="15" t="n">
        <f aca="false">IF(E229&lt;=0.005,0,MIN(E229+F230,Compare!$B$9))</f>
        <v>0</v>
      </c>
      <c r="H230" s="15" t="n">
        <f aca="false">MAX(0,H229+I230-J230)</f>
        <v>0</v>
      </c>
      <c r="I230" s="15" t="n">
        <f aca="false">IF(H229&lt;=0.005,0,H229*Compare!$B$4/12)</f>
        <v>0</v>
      </c>
      <c r="J230" s="15" t="n">
        <f aca="false">IF(H229&lt;=0.005,0,MIN(H229+I230,Compare!$B$9+Compare!$B$8))</f>
        <v>0</v>
      </c>
    </row>
    <row r="231" customFormat="false" ht="15" hidden="false" customHeight="false" outlineLevel="0" collapsed="false">
      <c r="A231" s="3" t="n">
        <v>228</v>
      </c>
      <c r="B231" s="15" t="n">
        <f aca="false">MAX(0,B230+C231-D231)</f>
        <v>0</v>
      </c>
      <c r="C231" s="15" t="n">
        <f aca="false">IF(B230&lt;=0.005,0,B230*Compare!$B$4/12)</f>
        <v>0</v>
      </c>
      <c r="D231" s="15" t="n">
        <f aca="false">IF(B230&lt;=0.005,0,MIN(B230+C231,MAX(Compare!$B$7,B230*Compare!$B$5+IF(Compare!$B$6="Yes",C231,0))))</f>
        <v>0</v>
      </c>
      <c r="E231" s="15" t="n">
        <f aca="false">MAX(0,E230+F231-G231)</f>
        <v>0</v>
      </c>
      <c r="F231" s="15" t="n">
        <f aca="false">IF(E230&lt;=0.005,0,E230*Compare!$B$4/12)</f>
        <v>0</v>
      </c>
      <c r="G231" s="15" t="n">
        <f aca="false">IF(E230&lt;=0.005,0,MIN(E230+F231,Compare!$B$9))</f>
        <v>0</v>
      </c>
      <c r="H231" s="15" t="n">
        <f aca="false">MAX(0,H230+I231-J231)</f>
        <v>0</v>
      </c>
      <c r="I231" s="15" t="n">
        <f aca="false">IF(H230&lt;=0.005,0,H230*Compare!$B$4/12)</f>
        <v>0</v>
      </c>
      <c r="J231" s="15" t="n">
        <f aca="false">IF(H230&lt;=0.005,0,MIN(H230+I231,Compare!$B$9+Compare!$B$8))</f>
        <v>0</v>
      </c>
    </row>
    <row r="232" customFormat="false" ht="15" hidden="false" customHeight="false" outlineLevel="0" collapsed="false">
      <c r="A232" s="3" t="n">
        <v>229</v>
      </c>
      <c r="B232" s="15" t="n">
        <f aca="false">MAX(0,B231+C232-D232)</f>
        <v>0</v>
      </c>
      <c r="C232" s="15" t="n">
        <f aca="false">IF(B231&lt;=0.005,0,B231*Compare!$B$4/12)</f>
        <v>0</v>
      </c>
      <c r="D232" s="15" t="n">
        <f aca="false">IF(B231&lt;=0.005,0,MIN(B231+C232,MAX(Compare!$B$7,B231*Compare!$B$5+IF(Compare!$B$6="Yes",C232,0))))</f>
        <v>0</v>
      </c>
      <c r="E232" s="15" t="n">
        <f aca="false">MAX(0,E231+F232-G232)</f>
        <v>0</v>
      </c>
      <c r="F232" s="15" t="n">
        <f aca="false">IF(E231&lt;=0.005,0,E231*Compare!$B$4/12)</f>
        <v>0</v>
      </c>
      <c r="G232" s="15" t="n">
        <f aca="false">IF(E231&lt;=0.005,0,MIN(E231+F232,Compare!$B$9))</f>
        <v>0</v>
      </c>
      <c r="H232" s="15" t="n">
        <f aca="false">MAX(0,H231+I232-J232)</f>
        <v>0</v>
      </c>
      <c r="I232" s="15" t="n">
        <f aca="false">IF(H231&lt;=0.005,0,H231*Compare!$B$4/12)</f>
        <v>0</v>
      </c>
      <c r="J232" s="15" t="n">
        <f aca="false">IF(H231&lt;=0.005,0,MIN(H231+I232,Compare!$B$9+Compare!$B$8))</f>
        <v>0</v>
      </c>
    </row>
    <row r="233" customFormat="false" ht="15" hidden="false" customHeight="false" outlineLevel="0" collapsed="false">
      <c r="A233" s="3" t="n">
        <v>230</v>
      </c>
      <c r="B233" s="15" t="n">
        <f aca="false">MAX(0,B232+C233-D233)</f>
        <v>0</v>
      </c>
      <c r="C233" s="15" t="n">
        <f aca="false">IF(B232&lt;=0.005,0,B232*Compare!$B$4/12)</f>
        <v>0</v>
      </c>
      <c r="D233" s="15" t="n">
        <f aca="false">IF(B232&lt;=0.005,0,MIN(B232+C233,MAX(Compare!$B$7,B232*Compare!$B$5+IF(Compare!$B$6="Yes",C233,0))))</f>
        <v>0</v>
      </c>
      <c r="E233" s="15" t="n">
        <f aca="false">MAX(0,E232+F233-G233)</f>
        <v>0</v>
      </c>
      <c r="F233" s="15" t="n">
        <f aca="false">IF(E232&lt;=0.005,0,E232*Compare!$B$4/12)</f>
        <v>0</v>
      </c>
      <c r="G233" s="15" t="n">
        <f aca="false">IF(E232&lt;=0.005,0,MIN(E232+F233,Compare!$B$9))</f>
        <v>0</v>
      </c>
      <c r="H233" s="15" t="n">
        <f aca="false">MAX(0,H232+I233-J233)</f>
        <v>0</v>
      </c>
      <c r="I233" s="15" t="n">
        <f aca="false">IF(H232&lt;=0.005,0,H232*Compare!$B$4/12)</f>
        <v>0</v>
      </c>
      <c r="J233" s="15" t="n">
        <f aca="false">IF(H232&lt;=0.005,0,MIN(H232+I233,Compare!$B$9+Compare!$B$8))</f>
        <v>0</v>
      </c>
    </row>
    <row r="234" customFormat="false" ht="15" hidden="false" customHeight="false" outlineLevel="0" collapsed="false">
      <c r="A234" s="3" t="n">
        <v>231</v>
      </c>
      <c r="B234" s="15" t="n">
        <f aca="false">MAX(0,B233+C234-D234)</f>
        <v>0</v>
      </c>
      <c r="C234" s="15" t="n">
        <f aca="false">IF(B233&lt;=0.005,0,B233*Compare!$B$4/12)</f>
        <v>0</v>
      </c>
      <c r="D234" s="15" t="n">
        <f aca="false">IF(B233&lt;=0.005,0,MIN(B233+C234,MAX(Compare!$B$7,B233*Compare!$B$5+IF(Compare!$B$6="Yes",C234,0))))</f>
        <v>0</v>
      </c>
      <c r="E234" s="15" t="n">
        <f aca="false">MAX(0,E233+F234-G234)</f>
        <v>0</v>
      </c>
      <c r="F234" s="15" t="n">
        <f aca="false">IF(E233&lt;=0.005,0,E233*Compare!$B$4/12)</f>
        <v>0</v>
      </c>
      <c r="G234" s="15" t="n">
        <f aca="false">IF(E233&lt;=0.005,0,MIN(E233+F234,Compare!$B$9))</f>
        <v>0</v>
      </c>
      <c r="H234" s="15" t="n">
        <f aca="false">MAX(0,H233+I234-J234)</f>
        <v>0</v>
      </c>
      <c r="I234" s="15" t="n">
        <f aca="false">IF(H233&lt;=0.005,0,H233*Compare!$B$4/12)</f>
        <v>0</v>
      </c>
      <c r="J234" s="15" t="n">
        <f aca="false">IF(H233&lt;=0.005,0,MIN(H233+I234,Compare!$B$9+Compare!$B$8))</f>
        <v>0</v>
      </c>
    </row>
    <row r="235" customFormat="false" ht="15" hidden="false" customHeight="false" outlineLevel="0" collapsed="false">
      <c r="A235" s="3" t="n">
        <v>232</v>
      </c>
      <c r="B235" s="15" t="n">
        <f aca="false">MAX(0,B234+C235-D235)</f>
        <v>0</v>
      </c>
      <c r="C235" s="15" t="n">
        <f aca="false">IF(B234&lt;=0.005,0,B234*Compare!$B$4/12)</f>
        <v>0</v>
      </c>
      <c r="D235" s="15" t="n">
        <f aca="false">IF(B234&lt;=0.005,0,MIN(B234+C235,MAX(Compare!$B$7,B234*Compare!$B$5+IF(Compare!$B$6="Yes",C235,0))))</f>
        <v>0</v>
      </c>
      <c r="E235" s="15" t="n">
        <f aca="false">MAX(0,E234+F235-G235)</f>
        <v>0</v>
      </c>
      <c r="F235" s="15" t="n">
        <f aca="false">IF(E234&lt;=0.005,0,E234*Compare!$B$4/12)</f>
        <v>0</v>
      </c>
      <c r="G235" s="15" t="n">
        <f aca="false">IF(E234&lt;=0.005,0,MIN(E234+F235,Compare!$B$9))</f>
        <v>0</v>
      </c>
      <c r="H235" s="15" t="n">
        <f aca="false">MAX(0,H234+I235-J235)</f>
        <v>0</v>
      </c>
      <c r="I235" s="15" t="n">
        <f aca="false">IF(H234&lt;=0.005,0,H234*Compare!$B$4/12)</f>
        <v>0</v>
      </c>
      <c r="J235" s="15" t="n">
        <f aca="false">IF(H234&lt;=0.005,0,MIN(H234+I235,Compare!$B$9+Compare!$B$8))</f>
        <v>0</v>
      </c>
    </row>
    <row r="236" customFormat="false" ht="15" hidden="false" customHeight="false" outlineLevel="0" collapsed="false">
      <c r="A236" s="3" t="n">
        <v>233</v>
      </c>
      <c r="B236" s="15" t="n">
        <f aca="false">MAX(0,B235+C236-D236)</f>
        <v>0</v>
      </c>
      <c r="C236" s="15" t="n">
        <f aca="false">IF(B235&lt;=0.005,0,B235*Compare!$B$4/12)</f>
        <v>0</v>
      </c>
      <c r="D236" s="15" t="n">
        <f aca="false">IF(B235&lt;=0.005,0,MIN(B235+C236,MAX(Compare!$B$7,B235*Compare!$B$5+IF(Compare!$B$6="Yes",C236,0))))</f>
        <v>0</v>
      </c>
      <c r="E236" s="15" t="n">
        <f aca="false">MAX(0,E235+F236-G236)</f>
        <v>0</v>
      </c>
      <c r="F236" s="15" t="n">
        <f aca="false">IF(E235&lt;=0.005,0,E235*Compare!$B$4/12)</f>
        <v>0</v>
      </c>
      <c r="G236" s="15" t="n">
        <f aca="false">IF(E235&lt;=0.005,0,MIN(E235+F236,Compare!$B$9))</f>
        <v>0</v>
      </c>
      <c r="H236" s="15" t="n">
        <f aca="false">MAX(0,H235+I236-J236)</f>
        <v>0</v>
      </c>
      <c r="I236" s="15" t="n">
        <f aca="false">IF(H235&lt;=0.005,0,H235*Compare!$B$4/12)</f>
        <v>0</v>
      </c>
      <c r="J236" s="15" t="n">
        <f aca="false">IF(H235&lt;=0.005,0,MIN(H235+I236,Compare!$B$9+Compare!$B$8))</f>
        <v>0</v>
      </c>
    </row>
    <row r="237" customFormat="false" ht="15" hidden="false" customHeight="false" outlineLevel="0" collapsed="false">
      <c r="A237" s="3" t="n">
        <v>234</v>
      </c>
      <c r="B237" s="15" t="n">
        <f aca="false">MAX(0,B236+C237-D237)</f>
        <v>0</v>
      </c>
      <c r="C237" s="15" t="n">
        <f aca="false">IF(B236&lt;=0.005,0,B236*Compare!$B$4/12)</f>
        <v>0</v>
      </c>
      <c r="D237" s="15" t="n">
        <f aca="false">IF(B236&lt;=0.005,0,MIN(B236+C237,MAX(Compare!$B$7,B236*Compare!$B$5+IF(Compare!$B$6="Yes",C237,0))))</f>
        <v>0</v>
      </c>
      <c r="E237" s="15" t="n">
        <f aca="false">MAX(0,E236+F237-G237)</f>
        <v>0</v>
      </c>
      <c r="F237" s="15" t="n">
        <f aca="false">IF(E236&lt;=0.005,0,E236*Compare!$B$4/12)</f>
        <v>0</v>
      </c>
      <c r="G237" s="15" t="n">
        <f aca="false">IF(E236&lt;=0.005,0,MIN(E236+F237,Compare!$B$9))</f>
        <v>0</v>
      </c>
      <c r="H237" s="15" t="n">
        <f aca="false">MAX(0,H236+I237-J237)</f>
        <v>0</v>
      </c>
      <c r="I237" s="15" t="n">
        <f aca="false">IF(H236&lt;=0.005,0,H236*Compare!$B$4/12)</f>
        <v>0</v>
      </c>
      <c r="J237" s="15" t="n">
        <f aca="false">IF(H236&lt;=0.005,0,MIN(H236+I237,Compare!$B$9+Compare!$B$8))</f>
        <v>0</v>
      </c>
    </row>
    <row r="238" customFormat="false" ht="15" hidden="false" customHeight="false" outlineLevel="0" collapsed="false">
      <c r="A238" s="3" t="n">
        <v>235</v>
      </c>
      <c r="B238" s="15" t="n">
        <f aca="false">MAX(0,B237+C238-D238)</f>
        <v>0</v>
      </c>
      <c r="C238" s="15" t="n">
        <f aca="false">IF(B237&lt;=0.005,0,B237*Compare!$B$4/12)</f>
        <v>0</v>
      </c>
      <c r="D238" s="15" t="n">
        <f aca="false">IF(B237&lt;=0.005,0,MIN(B237+C238,MAX(Compare!$B$7,B237*Compare!$B$5+IF(Compare!$B$6="Yes",C238,0))))</f>
        <v>0</v>
      </c>
      <c r="E238" s="15" t="n">
        <f aca="false">MAX(0,E237+F238-G238)</f>
        <v>0</v>
      </c>
      <c r="F238" s="15" t="n">
        <f aca="false">IF(E237&lt;=0.005,0,E237*Compare!$B$4/12)</f>
        <v>0</v>
      </c>
      <c r="G238" s="15" t="n">
        <f aca="false">IF(E237&lt;=0.005,0,MIN(E237+F238,Compare!$B$9))</f>
        <v>0</v>
      </c>
      <c r="H238" s="15" t="n">
        <f aca="false">MAX(0,H237+I238-J238)</f>
        <v>0</v>
      </c>
      <c r="I238" s="15" t="n">
        <f aca="false">IF(H237&lt;=0.005,0,H237*Compare!$B$4/12)</f>
        <v>0</v>
      </c>
      <c r="J238" s="15" t="n">
        <f aca="false">IF(H237&lt;=0.005,0,MIN(H237+I238,Compare!$B$9+Compare!$B$8))</f>
        <v>0</v>
      </c>
    </row>
    <row r="239" customFormat="false" ht="15" hidden="false" customHeight="false" outlineLevel="0" collapsed="false">
      <c r="A239" s="3" t="n">
        <v>236</v>
      </c>
      <c r="B239" s="15" t="n">
        <f aca="false">MAX(0,B238+C239-D239)</f>
        <v>0</v>
      </c>
      <c r="C239" s="15" t="n">
        <f aca="false">IF(B238&lt;=0.005,0,B238*Compare!$B$4/12)</f>
        <v>0</v>
      </c>
      <c r="D239" s="15" t="n">
        <f aca="false">IF(B238&lt;=0.005,0,MIN(B238+C239,MAX(Compare!$B$7,B238*Compare!$B$5+IF(Compare!$B$6="Yes",C239,0))))</f>
        <v>0</v>
      </c>
      <c r="E239" s="15" t="n">
        <f aca="false">MAX(0,E238+F239-G239)</f>
        <v>0</v>
      </c>
      <c r="F239" s="15" t="n">
        <f aca="false">IF(E238&lt;=0.005,0,E238*Compare!$B$4/12)</f>
        <v>0</v>
      </c>
      <c r="G239" s="15" t="n">
        <f aca="false">IF(E238&lt;=0.005,0,MIN(E238+F239,Compare!$B$9))</f>
        <v>0</v>
      </c>
      <c r="H239" s="15" t="n">
        <f aca="false">MAX(0,H238+I239-J239)</f>
        <v>0</v>
      </c>
      <c r="I239" s="15" t="n">
        <f aca="false">IF(H238&lt;=0.005,0,H238*Compare!$B$4/12)</f>
        <v>0</v>
      </c>
      <c r="J239" s="15" t="n">
        <f aca="false">IF(H238&lt;=0.005,0,MIN(H238+I239,Compare!$B$9+Compare!$B$8))</f>
        <v>0</v>
      </c>
    </row>
    <row r="240" customFormat="false" ht="15" hidden="false" customHeight="false" outlineLevel="0" collapsed="false">
      <c r="A240" s="3" t="n">
        <v>237</v>
      </c>
      <c r="B240" s="15" t="n">
        <f aca="false">MAX(0,B239+C240-D240)</f>
        <v>0</v>
      </c>
      <c r="C240" s="15" t="n">
        <f aca="false">IF(B239&lt;=0.005,0,B239*Compare!$B$4/12)</f>
        <v>0</v>
      </c>
      <c r="D240" s="15" t="n">
        <f aca="false">IF(B239&lt;=0.005,0,MIN(B239+C240,MAX(Compare!$B$7,B239*Compare!$B$5+IF(Compare!$B$6="Yes",C240,0))))</f>
        <v>0</v>
      </c>
      <c r="E240" s="15" t="n">
        <f aca="false">MAX(0,E239+F240-G240)</f>
        <v>0</v>
      </c>
      <c r="F240" s="15" t="n">
        <f aca="false">IF(E239&lt;=0.005,0,E239*Compare!$B$4/12)</f>
        <v>0</v>
      </c>
      <c r="G240" s="15" t="n">
        <f aca="false">IF(E239&lt;=0.005,0,MIN(E239+F240,Compare!$B$9))</f>
        <v>0</v>
      </c>
      <c r="H240" s="15" t="n">
        <f aca="false">MAX(0,H239+I240-J240)</f>
        <v>0</v>
      </c>
      <c r="I240" s="15" t="n">
        <f aca="false">IF(H239&lt;=0.005,0,H239*Compare!$B$4/12)</f>
        <v>0</v>
      </c>
      <c r="J240" s="15" t="n">
        <f aca="false">IF(H239&lt;=0.005,0,MIN(H239+I240,Compare!$B$9+Compare!$B$8))</f>
        <v>0</v>
      </c>
    </row>
    <row r="241" customFormat="false" ht="15" hidden="false" customHeight="false" outlineLevel="0" collapsed="false">
      <c r="A241" s="3" t="n">
        <v>238</v>
      </c>
      <c r="B241" s="15" t="n">
        <f aca="false">MAX(0,B240+C241-D241)</f>
        <v>0</v>
      </c>
      <c r="C241" s="15" t="n">
        <f aca="false">IF(B240&lt;=0.005,0,B240*Compare!$B$4/12)</f>
        <v>0</v>
      </c>
      <c r="D241" s="15" t="n">
        <f aca="false">IF(B240&lt;=0.005,0,MIN(B240+C241,MAX(Compare!$B$7,B240*Compare!$B$5+IF(Compare!$B$6="Yes",C241,0))))</f>
        <v>0</v>
      </c>
      <c r="E241" s="15" t="n">
        <f aca="false">MAX(0,E240+F241-G241)</f>
        <v>0</v>
      </c>
      <c r="F241" s="15" t="n">
        <f aca="false">IF(E240&lt;=0.005,0,E240*Compare!$B$4/12)</f>
        <v>0</v>
      </c>
      <c r="G241" s="15" t="n">
        <f aca="false">IF(E240&lt;=0.005,0,MIN(E240+F241,Compare!$B$9))</f>
        <v>0</v>
      </c>
      <c r="H241" s="15" t="n">
        <f aca="false">MAX(0,H240+I241-J241)</f>
        <v>0</v>
      </c>
      <c r="I241" s="15" t="n">
        <f aca="false">IF(H240&lt;=0.005,0,H240*Compare!$B$4/12)</f>
        <v>0</v>
      </c>
      <c r="J241" s="15" t="n">
        <f aca="false">IF(H240&lt;=0.005,0,MIN(H240+I241,Compare!$B$9+Compare!$B$8))</f>
        <v>0</v>
      </c>
    </row>
    <row r="242" customFormat="false" ht="15" hidden="false" customHeight="false" outlineLevel="0" collapsed="false">
      <c r="A242" s="3" t="n">
        <v>239</v>
      </c>
      <c r="B242" s="15" t="n">
        <f aca="false">MAX(0,B241+C242-D242)</f>
        <v>0</v>
      </c>
      <c r="C242" s="15" t="n">
        <f aca="false">IF(B241&lt;=0.005,0,B241*Compare!$B$4/12)</f>
        <v>0</v>
      </c>
      <c r="D242" s="15" t="n">
        <f aca="false">IF(B241&lt;=0.005,0,MIN(B241+C242,MAX(Compare!$B$7,B241*Compare!$B$5+IF(Compare!$B$6="Yes",C242,0))))</f>
        <v>0</v>
      </c>
      <c r="E242" s="15" t="n">
        <f aca="false">MAX(0,E241+F242-G242)</f>
        <v>0</v>
      </c>
      <c r="F242" s="15" t="n">
        <f aca="false">IF(E241&lt;=0.005,0,E241*Compare!$B$4/12)</f>
        <v>0</v>
      </c>
      <c r="G242" s="15" t="n">
        <f aca="false">IF(E241&lt;=0.005,0,MIN(E241+F242,Compare!$B$9))</f>
        <v>0</v>
      </c>
      <c r="H242" s="15" t="n">
        <f aca="false">MAX(0,H241+I242-J242)</f>
        <v>0</v>
      </c>
      <c r="I242" s="15" t="n">
        <f aca="false">IF(H241&lt;=0.005,0,H241*Compare!$B$4/12)</f>
        <v>0</v>
      </c>
      <c r="J242" s="15" t="n">
        <f aca="false">IF(H241&lt;=0.005,0,MIN(H241+I242,Compare!$B$9+Compare!$B$8))</f>
        <v>0</v>
      </c>
    </row>
    <row r="243" customFormat="false" ht="15" hidden="false" customHeight="false" outlineLevel="0" collapsed="false">
      <c r="A243" s="3" t="n">
        <v>240</v>
      </c>
      <c r="B243" s="15" t="n">
        <f aca="false">MAX(0,B242+C243-D243)</f>
        <v>0</v>
      </c>
      <c r="C243" s="15" t="n">
        <f aca="false">IF(B242&lt;=0.005,0,B242*Compare!$B$4/12)</f>
        <v>0</v>
      </c>
      <c r="D243" s="15" t="n">
        <f aca="false">IF(B242&lt;=0.005,0,MIN(B242+C243,MAX(Compare!$B$7,B242*Compare!$B$5+IF(Compare!$B$6="Yes",C243,0))))</f>
        <v>0</v>
      </c>
      <c r="E243" s="15" t="n">
        <f aca="false">MAX(0,E242+F243-G243)</f>
        <v>0</v>
      </c>
      <c r="F243" s="15" t="n">
        <f aca="false">IF(E242&lt;=0.005,0,E242*Compare!$B$4/12)</f>
        <v>0</v>
      </c>
      <c r="G243" s="15" t="n">
        <f aca="false">IF(E242&lt;=0.005,0,MIN(E242+F243,Compare!$B$9))</f>
        <v>0</v>
      </c>
      <c r="H243" s="15" t="n">
        <f aca="false">MAX(0,H242+I243-J243)</f>
        <v>0</v>
      </c>
      <c r="I243" s="15" t="n">
        <f aca="false">IF(H242&lt;=0.005,0,H242*Compare!$B$4/12)</f>
        <v>0</v>
      </c>
      <c r="J243" s="15" t="n">
        <f aca="false">IF(H242&lt;=0.005,0,MIN(H242+I243,Compare!$B$9+Compare!$B$8))</f>
        <v>0</v>
      </c>
    </row>
    <row r="244" customFormat="false" ht="15" hidden="false" customHeight="false" outlineLevel="0" collapsed="false">
      <c r="A244" s="3" t="n">
        <v>241</v>
      </c>
      <c r="B244" s="15" t="n">
        <f aca="false">MAX(0,B243+C244-D244)</f>
        <v>0</v>
      </c>
      <c r="C244" s="15" t="n">
        <f aca="false">IF(B243&lt;=0.005,0,B243*Compare!$B$4/12)</f>
        <v>0</v>
      </c>
      <c r="D244" s="15" t="n">
        <f aca="false">IF(B243&lt;=0.005,0,MIN(B243+C244,MAX(Compare!$B$7,B243*Compare!$B$5+IF(Compare!$B$6="Yes",C244,0))))</f>
        <v>0</v>
      </c>
      <c r="E244" s="15" t="n">
        <f aca="false">MAX(0,E243+F244-G244)</f>
        <v>0</v>
      </c>
      <c r="F244" s="15" t="n">
        <f aca="false">IF(E243&lt;=0.005,0,E243*Compare!$B$4/12)</f>
        <v>0</v>
      </c>
      <c r="G244" s="15" t="n">
        <f aca="false">IF(E243&lt;=0.005,0,MIN(E243+F244,Compare!$B$9))</f>
        <v>0</v>
      </c>
      <c r="H244" s="15" t="n">
        <f aca="false">MAX(0,H243+I244-J244)</f>
        <v>0</v>
      </c>
      <c r="I244" s="15" t="n">
        <f aca="false">IF(H243&lt;=0.005,0,H243*Compare!$B$4/12)</f>
        <v>0</v>
      </c>
      <c r="J244" s="15" t="n">
        <f aca="false">IF(H243&lt;=0.005,0,MIN(H243+I244,Compare!$B$9+Compare!$B$8))</f>
        <v>0</v>
      </c>
    </row>
    <row r="245" customFormat="false" ht="15" hidden="false" customHeight="false" outlineLevel="0" collapsed="false">
      <c r="A245" s="3" t="n">
        <v>242</v>
      </c>
      <c r="B245" s="15" t="n">
        <f aca="false">MAX(0,B244+C245-D245)</f>
        <v>0</v>
      </c>
      <c r="C245" s="15" t="n">
        <f aca="false">IF(B244&lt;=0.005,0,B244*Compare!$B$4/12)</f>
        <v>0</v>
      </c>
      <c r="D245" s="15" t="n">
        <f aca="false">IF(B244&lt;=0.005,0,MIN(B244+C245,MAX(Compare!$B$7,B244*Compare!$B$5+IF(Compare!$B$6="Yes",C245,0))))</f>
        <v>0</v>
      </c>
      <c r="E245" s="15" t="n">
        <f aca="false">MAX(0,E244+F245-G245)</f>
        <v>0</v>
      </c>
      <c r="F245" s="15" t="n">
        <f aca="false">IF(E244&lt;=0.005,0,E244*Compare!$B$4/12)</f>
        <v>0</v>
      </c>
      <c r="G245" s="15" t="n">
        <f aca="false">IF(E244&lt;=0.005,0,MIN(E244+F245,Compare!$B$9))</f>
        <v>0</v>
      </c>
      <c r="H245" s="15" t="n">
        <f aca="false">MAX(0,H244+I245-J245)</f>
        <v>0</v>
      </c>
      <c r="I245" s="15" t="n">
        <f aca="false">IF(H244&lt;=0.005,0,H244*Compare!$B$4/12)</f>
        <v>0</v>
      </c>
      <c r="J245" s="15" t="n">
        <f aca="false">IF(H244&lt;=0.005,0,MIN(H244+I245,Compare!$B$9+Compare!$B$8))</f>
        <v>0</v>
      </c>
    </row>
    <row r="246" customFormat="false" ht="15" hidden="false" customHeight="false" outlineLevel="0" collapsed="false">
      <c r="A246" s="3" t="n">
        <v>243</v>
      </c>
      <c r="B246" s="15" t="n">
        <f aca="false">MAX(0,B245+C246-D246)</f>
        <v>0</v>
      </c>
      <c r="C246" s="15" t="n">
        <f aca="false">IF(B245&lt;=0.005,0,B245*Compare!$B$4/12)</f>
        <v>0</v>
      </c>
      <c r="D246" s="15" t="n">
        <f aca="false">IF(B245&lt;=0.005,0,MIN(B245+C246,MAX(Compare!$B$7,B245*Compare!$B$5+IF(Compare!$B$6="Yes",C246,0))))</f>
        <v>0</v>
      </c>
      <c r="E246" s="15" t="n">
        <f aca="false">MAX(0,E245+F246-G246)</f>
        <v>0</v>
      </c>
      <c r="F246" s="15" t="n">
        <f aca="false">IF(E245&lt;=0.005,0,E245*Compare!$B$4/12)</f>
        <v>0</v>
      </c>
      <c r="G246" s="15" t="n">
        <f aca="false">IF(E245&lt;=0.005,0,MIN(E245+F246,Compare!$B$9))</f>
        <v>0</v>
      </c>
      <c r="H246" s="15" t="n">
        <f aca="false">MAX(0,H245+I246-J246)</f>
        <v>0</v>
      </c>
      <c r="I246" s="15" t="n">
        <f aca="false">IF(H245&lt;=0.005,0,H245*Compare!$B$4/12)</f>
        <v>0</v>
      </c>
      <c r="J246" s="15" t="n">
        <f aca="false">IF(H245&lt;=0.005,0,MIN(H245+I246,Compare!$B$9+Compare!$B$8))</f>
        <v>0</v>
      </c>
    </row>
    <row r="247" customFormat="false" ht="15" hidden="false" customHeight="false" outlineLevel="0" collapsed="false">
      <c r="A247" s="3" t="n">
        <v>244</v>
      </c>
      <c r="B247" s="15" t="n">
        <f aca="false">MAX(0,B246+C247-D247)</f>
        <v>0</v>
      </c>
      <c r="C247" s="15" t="n">
        <f aca="false">IF(B246&lt;=0.005,0,B246*Compare!$B$4/12)</f>
        <v>0</v>
      </c>
      <c r="D247" s="15" t="n">
        <f aca="false">IF(B246&lt;=0.005,0,MIN(B246+C247,MAX(Compare!$B$7,B246*Compare!$B$5+IF(Compare!$B$6="Yes",C247,0))))</f>
        <v>0</v>
      </c>
      <c r="E247" s="15" t="n">
        <f aca="false">MAX(0,E246+F247-G247)</f>
        <v>0</v>
      </c>
      <c r="F247" s="15" t="n">
        <f aca="false">IF(E246&lt;=0.005,0,E246*Compare!$B$4/12)</f>
        <v>0</v>
      </c>
      <c r="G247" s="15" t="n">
        <f aca="false">IF(E246&lt;=0.005,0,MIN(E246+F247,Compare!$B$9))</f>
        <v>0</v>
      </c>
      <c r="H247" s="15" t="n">
        <f aca="false">MAX(0,H246+I247-J247)</f>
        <v>0</v>
      </c>
      <c r="I247" s="15" t="n">
        <f aca="false">IF(H246&lt;=0.005,0,H246*Compare!$B$4/12)</f>
        <v>0</v>
      </c>
      <c r="J247" s="15" t="n">
        <f aca="false">IF(H246&lt;=0.005,0,MIN(H246+I247,Compare!$B$9+Compare!$B$8))</f>
        <v>0</v>
      </c>
    </row>
    <row r="248" customFormat="false" ht="15" hidden="false" customHeight="false" outlineLevel="0" collapsed="false">
      <c r="A248" s="3" t="n">
        <v>245</v>
      </c>
      <c r="B248" s="15" t="n">
        <f aca="false">MAX(0,B247+C248-D248)</f>
        <v>0</v>
      </c>
      <c r="C248" s="15" t="n">
        <f aca="false">IF(B247&lt;=0.005,0,B247*Compare!$B$4/12)</f>
        <v>0</v>
      </c>
      <c r="D248" s="15" t="n">
        <f aca="false">IF(B247&lt;=0.005,0,MIN(B247+C248,MAX(Compare!$B$7,B247*Compare!$B$5+IF(Compare!$B$6="Yes",C248,0))))</f>
        <v>0</v>
      </c>
      <c r="E248" s="15" t="n">
        <f aca="false">MAX(0,E247+F248-G248)</f>
        <v>0</v>
      </c>
      <c r="F248" s="15" t="n">
        <f aca="false">IF(E247&lt;=0.005,0,E247*Compare!$B$4/12)</f>
        <v>0</v>
      </c>
      <c r="G248" s="15" t="n">
        <f aca="false">IF(E247&lt;=0.005,0,MIN(E247+F248,Compare!$B$9))</f>
        <v>0</v>
      </c>
      <c r="H248" s="15" t="n">
        <f aca="false">MAX(0,H247+I248-J248)</f>
        <v>0</v>
      </c>
      <c r="I248" s="15" t="n">
        <f aca="false">IF(H247&lt;=0.005,0,H247*Compare!$B$4/12)</f>
        <v>0</v>
      </c>
      <c r="J248" s="15" t="n">
        <f aca="false">IF(H247&lt;=0.005,0,MIN(H247+I248,Compare!$B$9+Compare!$B$8))</f>
        <v>0</v>
      </c>
    </row>
    <row r="249" customFormat="false" ht="15" hidden="false" customHeight="false" outlineLevel="0" collapsed="false">
      <c r="A249" s="3" t="n">
        <v>246</v>
      </c>
      <c r="B249" s="15" t="n">
        <f aca="false">MAX(0,B248+C249-D249)</f>
        <v>0</v>
      </c>
      <c r="C249" s="15" t="n">
        <f aca="false">IF(B248&lt;=0.005,0,B248*Compare!$B$4/12)</f>
        <v>0</v>
      </c>
      <c r="D249" s="15" t="n">
        <f aca="false">IF(B248&lt;=0.005,0,MIN(B248+C249,MAX(Compare!$B$7,B248*Compare!$B$5+IF(Compare!$B$6="Yes",C249,0))))</f>
        <v>0</v>
      </c>
      <c r="E249" s="15" t="n">
        <f aca="false">MAX(0,E248+F249-G249)</f>
        <v>0</v>
      </c>
      <c r="F249" s="15" t="n">
        <f aca="false">IF(E248&lt;=0.005,0,E248*Compare!$B$4/12)</f>
        <v>0</v>
      </c>
      <c r="G249" s="15" t="n">
        <f aca="false">IF(E248&lt;=0.005,0,MIN(E248+F249,Compare!$B$9))</f>
        <v>0</v>
      </c>
      <c r="H249" s="15" t="n">
        <f aca="false">MAX(0,H248+I249-J249)</f>
        <v>0</v>
      </c>
      <c r="I249" s="15" t="n">
        <f aca="false">IF(H248&lt;=0.005,0,H248*Compare!$B$4/12)</f>
        <v>0</v>
      </c>
      <c r="J249" s="15" t="n">
        <f aca="false">IF(H248&lt;=0.005,0,MIN(H248+I249,Compare!$B$9+Compare!$B$8))</f>
        <v>0</v>
      </c>
    </row>
    <row r="250" customFormat="false" ht="15" hidden="false" customHeight="false" outlineLevel="0" collapsed="false">
      <c r="A250" s="3" t="n">
        <v>247</v>
      </c>
      <c r="B250" s="15" t="n">
        <f aca="false">MAX(0,B249+C250-D250)</f>
        <v>0</v>
      </c>
      <c r="C250" s="15" t="n">
        <f aca="false">IF(B249&lt;=0.005,0,B249*Compare!$B$4/12)</f>
        <v>0</v>
      </c>
      <c r="D250" s="15" t="n">
        <f aca="false">IF(B249&lt;=0.005,0,MIN(B249+C250,MAX(Compare!$B$7,B249*Compare!$B$5+IF(Compare!$B$6="Yes",C250,0))))</f>
        <v>0</v>
      </c>
      <c r="E250" s="15" t="n">
        <f aca="false">MAX(0,E249+F250-G250)</f>
        <v>0</v>
      </c>
      <c r="F250" s="15" t="n">
        <f aca="false">IF(E249&lt;=0.005,0,E249*Compare!$B$4/12)</f>
        <v>0</v>
      </c>
      <c r="G250" s="15" t="n">
        <f aca="false">IF(E249&lt;=0.005,0,MIN(E249+F250,Compare!$B$9))</f>
        <v>0</v>
      </c>
      <c r="H250" s="15" t="n">
        <f aca="false">MAX(0,H249+I250-J250)</f>
        <v>0</v>
      </c>
      <c r="I250" s="15" t="n">
        <f aca="false">IF(H249&lt;=0.005,0,H249*Compare!$B$4/12)</f>
        <v>0</v>
      </c>
      <c r="J250" s="15" t="n">
        <f aca="false">IF(H249&lt;=0.005,0,MIN(H249+I250,Compare!$B$9+Compare!$B$8))</f>
        <v>0</v>
      </c>
    </row>
    <row r="251" customFormat="false" ht="15" hidden="false" customHeight="false" outlineLevel="0" collapsed="false">
      <c r="A251" s="3" t="n">
        <v>248</v>
      </c>
      <c r="B251" s="15" t="n">
        <f aca="false">MAX(0,B250+C251-D251)</f>
        <v>0</v>
      </c>
      <c r="C251" s="15" t="n">
        <f aca="false">IF(B250&lt;=0.005,0,B250*Compare!$B$4/12)</f>
        <v>0</v>
      </c>
      <c r="D251" s="15" t="n">
        <f aca="false">IF(B250&lt;=0.005,0,MIN(B250+C251,MAX(Compare!$B$7,B250*Compare!$B$5+IF(Compare!$B$6="Yes",C251,0))))</f>
        <v>0</v>
      </c>
      <c r="E251" s="15" t="n">
        <f aca="false">MAX(0,E250+F251-G251)</f>
        <v>0</v>
      </c>
      <c r="F251" s="15" t="n">
        <f aca="false">IF(E250&lt;=0.005,0,E250*Compare!$B$4/12)</f>
        <v>0</v>
      </c>
      <c r="G251" s="15" t="n">
        <f aca="false">IF(E250&lt;=0.005,0,MIN(E250+F251,Compare!$B$9))</f>
        <v>0</v>
      </c>
      <c r="H251" s="15" t="n">
        <f aca="false">MAX(0,H250+I251-J251)</f>
        <v>0</v>
      </c>
      <c r="I251" s="15" t="n">
        <f aca="false">IF(H250&lt;=0.005,0,H250*Compare!$B$4/12)</f>
        <v>0</v>
      </c>
      <c r="J251" s="15" t="n">
        <f aca="false">IF(H250&lt;=0.005,0,MIN(H250+I251,Compare!$B$9+Compare!$B$8))</f>
        <v>0</v>
      </c>
    </row>
    <row r="252" customFormat="false" ht="15" hidden="false" customHeight="false" outlineLevel="0" collapsed="false">
      <c r="A252" s="3" t="n">
        <v>249</v>
      </c>
      <c r="B252" s="15" t="n">
        <f aca="false">MAX(0,B251+C252-D252)</f>
        <v>0</v>
      </c>
      <c r="C252" s="15" t="n">
        <f aca="false">IF(B251&lt;=0.005,0,B251*Compare!$B$4/12)</f>
        <v>0</v>
      </c>
      <c r="D252" s="15" t="n">
        <f aca="false">IF(B251&lt;=0.005,0,MIN(B251+C252,MAX(Compare!$B$7,B251*Compare!$B$5+IF(Compare!$B$6="Yes",C252,0))))</f>
        <v>0</v>
      </c>
      <c r="E252" s="15" t="n">
        <f aca="false">MAX(0,E251+F252-G252)</f>
        <v>0</v>
      </c>
      <c r="F252" s="15" t="n">
        <f aca="false">IF(E251&lt;=0.005,0,E251*Compare!$B$4/12)</f>
        <v>0</v>
      </c>
      <c r="G252" s="15" t="n">
        <f aca="false">IF(E251&lt;=0.005,0,MIN(E251+F252,Compare!$B$9))</f>
        <v>0</v>
      </c>
      <c r="H252" s="15" t="n">
        <f aca="false">MAX(0,H251+I252-J252)</f>
        <v>0</v>
      </c>
      <c r="I252" s="15" t="n">
        <f aca="false">IF(H251&lt;=0.005,0,H251*Compare!$B$4/12)</f>
        <v>0</v>
      </c>
      <c r="J252" s="15" t="n">
        <f aca="false">IF(H251&lt;=0.005,0,MIN(H251+I252,Compare!$B$9+Compare!$B$8))</f>
        <v>0</v>
      </c>
    </row>
    <row r="253" customFormat="false" ht="15" hidden="false" customHeight="false" outlineLevel="0" collapsed="false">
      <c r="A253" s="3" t="n">
        <v>250</v>
      </c>
      <c r="B253" s="15" t="n">
        <f aca="false">MAX(0,B252+C253-D253)</f>
        <v>0</v>
      </c>
      <c r="C253" s="15" t="n">
        <f aca="false">IF(B252&lt;=0.005,0,B252*Compare!$B$4/12)</f>
        <v>0</v>
      </c>
      <c r="D253" s="15" t="n">
        <f aca="false">IF(B252&lt;=0.005,0,MIN(B252+C253,MAX(Compare!$B$7,B252*Compare!$B$5+IF(Compare!$B$6="Yes",C253,0))))</f>
        <v>0</v>
      </c>
      <c r="E253" s="15" t="n">
        <f aca="false">MAX(0,E252+F253-G253)</f>
        <v>0</v>
      </c>
      <c r="F253" s="15" t="n">
        <f aca="false">IF(E252&lt;=0.005,0,E252*Compare!$B$4/12)</f>
        <v>0</v>
      </c>
      <c r="G253" s="15" t="n">
        <f aca="false">IF(E252&lt;=0.005,0,MIN(E252+F253,Compare!$B$9))</f>
        <v>0</v>
      </c>
      <c r="H253" s="15" t="n">
        <f aca="false">MAX(0,H252+I253-J253)</f>
        <v>0</v>
      </c>
      <c r="I253" s="15" t="n">
        <f aca="false">IF(H252&lt;=0.005,0,H252*Compare!$B$4/12)</f>
        <v>0</v>
      </c>
      <c r="J253" s="15" t="n">
        <f aca="false">IF(H252&lt;=0.005,0,MIN(H252+I253,Compare!$B$9+Compare!$B$8))</f>
        <v>0</v>
      </c>
    </row>
    <row r="254" customFormat="false" ht="15" hidden="false" customHeight="false" outlineLevel="0" collapsed="false">
      <c r="A254" s="3" t="n">
        <v>251</v>
      </c>
      <c r="B254" s="15" t="n">
        <f aca="false">MAX(0,B253+C254-D254)</f>
        <v>0</v>
      </c>
      <c r="C254" s="15" t="n">
        <f aca="false">IF(B253&lt;=0.005,0,B253*Compare!$B$4/12)</f>
        <v>0</v>
      </c>
      <c r="D254" s="15" t="n">
        <f aca="false">IF(B253&lt;=0.005,0,MIN(B253+C254,MAX(Compare!$B$7,B253*Compare!$B$5+IF(Compare!$B$6="Yes",C254,0))))</f>
        <v>0</v>
      </c>
      <c r="E254" s="15" t="n">
        <f aca="false">MAX(0,E253+F254-G254)</f>
        <v>0</v>
      </c>
      <c r="F254" s="15" t="n">
        <f aca="false">IF(E253&lt;=0.005,0,E253*Compare!$B$4/12)</f>
        <v>0</v>
      </c>
      <c r="G254" s="15" t="n">
        <f aca="false">IF(E253&lt;=0.005,0,MIN(E253+F254,Compare!$B$9))</f>
        <v>0</v>
      </c>
      <c r="H254" s="15" t="n">
        <f aca="false">MAX(0,H253+I254-J254)</f>
        <v>0</v>
      </c>
      <c r="I254" s="15" t="n">
        <f aca="false">IF(H253&lt;=0.005,0,H253*Compare!$B$4/12)</f>
        <v>0</v>
      </c>
      <c r="J254" s="15" t="n">
        <f aca="false">IF(H253&lt;=0.005,0,MIN(H253+I254,Compare!$B$9+Compare!$B$8))</f>
        <v>0</v>
      </c>
    </row>
    <row r="255" customFormat="false" ht="15" hidden="false" customHeight="false" outlineLevel="0" collapsed="false">
      <c r="A255" s="3" t="n">
        <v>252</v>
      </c>
      <c r="B255" s="15" t="n">
        <f aca="false">MAX(0,B254+C255-D255)</f>
        <v>0</v>
      </c>
      <c r="C255" s="15" t="n">
        <f aca="false">IF(B254&lt;=0.005,0,B254*Compare!$B$4/12)</f>
        <v>0</v>
      </c>
      <c r="D255" s="15" t="n">
        <f aca="false">IF(B254&lt;=0.005,0,MIN(B254+C255,MAX(Compare!$B$7,B254*Compare!$B$5+IF(Compare!$B$6="Yes",C255,0))))</f>
        <v>0</v>
      </c>
      <c r="E255" s="15" t="n">
        <f aca="false">MAX(0,E254+F255-G255)</f>
        <v>0</v>
      </c>
      <c r="F255" s="15" t="n">
        <f aca="false">IF(E254&lt;=0.005,0,E254*Compare!$B$4/12)</f>
        <v>0</v>
      </c>
      <c r="G255" s="15" t="n">
        <f aca="false">IF(E254&lt;=0.005,0,MIN(E254+F255,Compare!$B$9))</f>
        <v>0</v>
      </c>
      <c r="H255" s="15" t="n">
        <f aca="false">MAX(0,H254+I255-J255)</f>
        <v>0</v>
      </c>
      <c r="I255" s="15" t="n">
        <f aca="false">IF(H254&lt;=0.005,0,H254*Compare!$B$4/12)</f>
        <v>0</v>
      </c>
      <c r="J255" s="15" t="n">
        <f aca="false">IF(H254&lt;=0.005,0,MIN(H254+I255,Compare!$B$9+Compare!$B$8))</f>
        <v>0</v>
      </c>
    </row>
    <row r="256" customFormat="false" ht="15" hidden="false" customHeight="false" outlineLevel="0" collapsed="false">
      <c r="A256" s="3" t="n">
        <v>253</v>
      </c>
      <c r="B256" s="15" t="n">
        <f aca="false">MAX(0,B255+C256-D256)</f>
        <v>0</v>
      </c>
      <c r="C256" s="15" t="n">
        <f aca="false">IF(B255&lt;=0.005,0,B255*Compare!$B$4/12)</f>
        <v>0</v>
      </c>
      <c r="D256" s="15" t="n">
        <f aca="false">IF(B255&lt;=0.005,0,MIN(B255+C256,MAX(Compare!$B$7,B255*Compare!$B$5+IF(Compare!$B$6="Yes",C256,0))))</f>
        <v>0</v>
      </c>
      <c r="E256" s="15" t="n">
        <f aca="false">MAX(0,E255+F256-G256)</f>
        <v>0</v>
      </c>
      <c r="F256" s="15" t="n">
        <f aca="false">IF(E255&lt;=0.005,0,E255*Compare!$B$4/12)</f>
        <v>0</v>
      </c>
      <c r="G256" s="15" t="n">
        <f aca="false">IF(E255&lt;=0.005,0,MIN(E255+F256,Compare!$B$9))</f>
        <v>0</v>
      </c>
      <c r="H256" s="15" t="n">
        <f aca="false">MAX(0,H255+I256-J256)</f>
        <v>0</v>
      </c>
      <c r="I256" s="15" t="n">
        <f aca="false">IF(H255&lt;=0.005,0,H255*Compare!$B$4/12)</f>
        <v>0</v>
      </c>
      <c r="J256" s="15" t="n">
        <f aca="false">IF(H255&lt;=0.005,0,MIN(H255+I256,Compare!$B$9+Compare!$B$8))</f>
        <v>0</v>
      </c>
    </row>
    <row r="257" customFormat="false" ht="15" hidden="false" customHeight="false" outlineLevel="0" collapsed="false">
      <c r="A257" s="3" t="n">
        <v>254</v>
      </c>
      <c r="B257" s="15" t="n">
        <f aca="false">MAX(0,B256+C257-D257)</f>
        <v>0</v>
      </c>
      <c r="C257" s="15" t="n">
        <f aca="false">IF(B256&lt;=0.005,0,B256*Compare!$B$4/12)</f>
        <v>0</v>
      </c>
      <c r="D257" s="15" t="n">
        <f aca="false">IF(B256&lt;=0.005,0,MIN(B256+C257,MAX(Compare!$B$7,B256*Compare!$B$5+IF(Compare!$B$6="Yes",C257,0))))</f>
        <v>0</v>
      </c>
      <c r="E257" s="15" t="n">
        <f aca="false">MAX(0,E256+F257-G257)</f>
        <v>0</v>
      </c>
      <c r="F257" s="15" t="n">
        <f aca="false">IF(E256&lt;=0.005,0,E256*Compare!$B$4/12)</f>
        <v>0</v>
      </c>
      <c r="G257" s="15" t="n">
        <f aca="false">IF(E256&lt;=0.005,0,MIN(E256+F257,Compare!$B$9))</f>
        <v>0</v>
      </c>
      <c r="H257" s="15" t="n">
        <f aca="false">MAX(0,H256+I257-J257)</f>
        <v>0</v>
      </c>
      <c r="I257" s="15" t="n">
        <f aca="false">IF(H256&lt;=0.005,0,H256*Compare!$B$4/12)</f>
        <v>0</v>
      </c>
      <c r="J257" s="15" t="n">
        <f aca="false">IF(H256&lt;=0.005,0,MIN(H256+I257,Compare!$B$9+Compare!$B$8))</f>
        <v>0</v>
      </c>
    </row>
    <row r="258" customFormat="false" ht="15" hidden="false" customHeight="false" outlineLevel="0" collapsed="false">
      <c r="A258" s="3" t="n">
        <v>255</v>
      </c>
      <c r="B258" s="15" t="n">
        <f aca="false">MAX(0,B257+C258-D258)</f>
        <v>0</v>
      </c>
      <c r="C258" s="15" t="n">
        <f aca="false">IF(B257&lt;=0.005,0,B257*Compare!$B$4/12)</f>
        <v>0</v>
      </c>
      <c r="D258" s="15" t="n">
        <f aca="false">IF(B257&lt;=0.005,0,MIN(B257+C258,MAX(Compare!$B$7,B257*Compare!$B$5+IF(Compare!$B$6="Yes",C258,0))))</f>
        <v>0</v>
      </c>
      <c r="E258" s="15" t="n">
        <f aca="false">MAX(0,E257+F258-G258)</f>
        <v>0</v>
      </c>
      <c r="F258" s="15" t="n">
        <f aca="false">IF(E257&lt;=0.005,0,E257*Compare!$B$4/12)</f>
        <v>0</v>
      </c>
      <c r="G258" s="15" t="n">
        <f aca="false">IF(E257&lt;=0.005,0,MIN(E257+F258,Compare!$B$9))</f>
        <v>0</v>
      </c>
      <c r="H258" s="15" t="n">
        <f aca="false">MAX(0,H257+I258-J258)</f>
        <v>0</v>
      </c>
      <c r="I258" s="15" t="n">
        <f aca="false">IF(H257&lt;=0.005,0,H257*Compare!$B$4/12)</f>
        <v>0</v>
      </c>
      <c r="J258" s="15" t="n">
        <f aca="false">IF(H257&lt;=0.005,0,MIN(H257+I258,Compare!$B$9+Compare!$B$8))</f>
        <v>0</v>
      </c>
    </row>
    <row r="259" customFormat="false" ht="15" hidden="false" customHeight="false" outlineLevel="0" collapsed="false">
      <c r="A259" s="3" t="n">
        <v>256</v>
      </c>
      <c r="B259" s="15" t="n">
        <f aca="false">MAX(0,B258+C259-D259)</f>
        <v>0</v>
      </c>
      <c r="C259" s="15" t="n">
        <f aca="false">IF(B258&lt;=0.005,0,B258*Compare!$B$4/12)</f>
        <v>0</v>
      </c>
      <c r="D259" s="15" t="n">
        <f aca="false">IF(B258&lt;=0.005,0,MIN(B258+C259,MAX(Compare!$B$7,B258*Compare!$B$5+IF(Compare!$B$6="Yes",C259,0))))</f>
        <v>0</v>
      </c>
      <c r="E259" s="15" t="n">
        <f aca="false">MAX(0,E258+F259-G259)</f>
        <v>0</v>
      </c>
      <c r="F259" s="15" t="n">
        <f aca="false">IF(E258&lt;=0.005,0,E258*Compare!$B$4/12)</f>
        <v>0</v>
      </c>
      <c r="G259" s="15" t="n">
        <f aca="false">IF(E258&lt;=0.005,0,MIN(E258+F259,Compare!$B$9))</f>
        <v>0</v>
      </c>
      <c r="H259" s="15" t="n">
        <f aca="false">MAX(0,H258+I259-J259)</f>
        <v>0</v>
      </c>
      <c r="I259" s="15" t="n">
        <f aca="false">IF(H258&lt;=0.005,0,H258*Compare!$B$4/12)</f>
        <v>0</v>
      </c>
      <c r="J259" s="15" t="n">
        <f aca="false">IF(H258&lt;=0.005,0,MIN(H258+I259,Compare!$B$9+Compare!$B$8))</f>
        <v>0</v>
      </c>
    </row>
    <row r="260" customFormat="false" ht="15" hidden="false" customHeight="false" outlineLevel="0" collapsed="false">
      <c r="A260" s="3" t="n">
        <v>257</v>
      </c>
      <c r="B260" s="15" t="n">
        <f aca="false">MAX(0,B259+C260-D260)</f>
        <v>0</v>
      </c>
      <c r="C260" s="15" t="n">
        <f aca="false">IF(B259&lt;=0.005,0,B259*Compare!$B$4/12)</f>
        <v>0</v>
      </c>
      <c r="D260" s="15" t="n">
        <f aca="false">IF(B259&lt;=0.005,0,MIN(B259+C260,MAX(Compare!$B$7,B259*Compare!$B$5+IF(Compare!$B$6="Yes",C260,0))))</f>
        <v>0</v>
      </c>
      <c r="E260" s="15" t="n">
        <f aca="false">MAX(0,E259+F260-G260)</f>
        <v>0</v>
      </c>
      <c r="F260" s="15" t="n">
        <f aca="false">IF(E259&lt;=0.005,0,E259*Compare!$B$4/12)</f>
        <v>0</v>
      </c>
      <c r="G260" s="15" t="n">
        <f aca="false">IF(E259&lt;=0.005,0,MIN(E259+F260,Compare!$B$9))</f>
        <v>0</v>
      </c>
      <c r="H260" s="15" t="n">
        <f aca="false">MAX(0,H259+I260-J260)</f>
        <v>0</v>
      </c>
      <c r="I260" s="15" t="n">
        <f aca="false">IF(H259&lt;=0.005,0,H259*Compare!$B$4/12)</f>
        <v>0</v>
      </c>
      <c r="J260" s="15" t="n">
        <f aca="false">IF(H259&lt;=0.005,0,MIN(H259+I260,Compare!$B$9+Compare!$B$8))</f>
        <v>0</v>
      </c>
    </row>
    <row r="261" customFormat="false" ht="15" hidden="false" customHeight="false" outlineLevel="0" collapsed="false">
      <c r="A261" s="3" t="n">
        <v>258</v>
      </c>
      <c r="B261" s="15" t="n">
        <f aca="false">MAX(0,B260+C261-D261)</f>
        <v>0</v>
      </c>
      <c r="C261" s="15" t="n">
        <f aca="false">IF(B260&lt;=0.005,0,B260*Compare!$B$4/12)</f>
        <v>0</v>
      </c>
      <c r="D261" s="15" t="n">
        <f aca="false">IF(B260&lt;=0.005,0,MIN(B260+C261,MAX(Compare!$B$7,B260*Compare!$B$5+IF(Compare!$B$6="Yes",C261,0))))</f>
        <v>0</v>
      </c>
      <c r="E261" s="15" t="n">
        <f aca="false">MAX(0,E260+F261-G261)</f>
        <v>0</v>
      </c>
      <c r="F261" s="15" t="n">
        <f aca="false">IF(E260&lt;=0.005,0,E260*Compare!$B$4/12)</f>
        <v>0</v>
      </c>
      <c r="G261" s="15" t="n">
        <f aca="false">IF(E260&lt;=0.005,0,MIN(E260+F261,Compare!$B$9))</f>
        <v>0</v>
      </c>
      <c r="H261" s="15" t="n">
        <f aca="false">MAX(0,H260+I261-J261)</f>
        <v>0</v>
      </c>
      <c r="I261" s="15" t="n">
        <f aca="false">IF(H260&lt;=0.005,0,H260*Compare!$B$4/12)</f>
        <v>0</v>
      </c>
      <c r="J261" s="15" t="n">
        <f aca="false">IF(H260&lt;=0.005,0,MIN(H260+I261,Compare!$B$9+Compare!$B$8))</f>
        <v>0</v>
      </c>
    </row>
    <row r="262" customFormat="false" ht="15" hidden="false" customHeight="false" outlineLevel="0" collapsed="false">
      <c r="A262" s="3" t="n">
        <v>259</v>
      </c>
      <c r="B262" s="15" t="n">
        <f aca="false">MAX(0,B261+C262-D262)</f>
        <v>0</v>
      </c>
      <c r="C262" s="15" t="n">
        <f aca="false">IF(B261&lt;=0.005,0,B261*Compare!$B$4/12)</f>
        <v>0</v>
      </c>
      <c r="D262" s="15" t="n">
        <f aca="false">IF(B261&lt;=0.005,0,MIN(B261+C262,MAX(Compare!$B$7,B261*Compare!$B$5+IF(Compare!$B$6="Yes",C262,0))))</f>
        <v>0</v>
      </c>
      <c r="E262" s="15" t="n">
        <f aca="false">MAX(0,E261+F262-G262)</f>
        <v>0</v>
      </c>
      <c r="F262" s="15" t="n">
        <f aca="false">IF(E261&lt;=0.005,0,E261*Compare!$B$4/12)</f>
        <v>0</v>
      </c>
      <c r="G262" s="15" t="n">
        <f aca="false">IF(E261&lt;=0.005,0,MIN(E261+F262,Compare!$B$9))</f>
        <v>0</v>
      </c>
      <c r="H262" s="15" t="n">
        <f aca="false">MAX(0,H261+I262-J262)</f>
        <v>0</v>
      </c>
      <c r="I262" s="15" t="n">
        <f aca="false">IF(H261&lt;=0.005,0,H261*Compare!$B$4/12)</f>
        <v>0</v>
      </c>
      <c r="J262" s="15" t="n">
        <f aca="false">IF(H261&lt;=0.005,0,MIN(H261+I262,Compare!$B$9+Compare!$B$8))</f>
        <v>0</v>
      </c>
    </row>
    <row r="263" customFormat="false" ht="15" hidden="false" customHeight="false" outlineLevel="0" collapsed="false">
      <c r="A263" s="3" t="n">
        <v>260</v>
      </c>
      <c r="B263" s="15" t="n">
        <f aca="false">MAX(0,B262+C263-D263)</f>
        <v>0</v>
      </c>
      <c r="C263" s="15" t="n">
        <f aca="false">IF(B262&lt;=0.005,0,B262*Compare!$B$4/12)</f>
        <v>0</v>
      </c>
      <c r="D263" s="15" t="n">
        <f aca="false">IF(B262&lt;=0.005,0,MIN(B262+C263,MAX(Compare!$B$7,B262*Compare!$B$5+IF(Compare!$B$6="Yes",C263,0))))</f>
        <v>0</v>
      </c>
      <c r="E263" s="15" t="n">
        <f aca="false">MAX(0,E262+F263-G263)</f>
        <v>0</v>
      </c>
      <c r="F263" s="15" t="n">
        <f aca="false">IF(E262&lt;=0.005,0,E262*Compare!$B$4/12)</f>
        <v>0</v>
      </c>
      <c r="G263" s="15" t="n">
        <f aca="false">IF(E262&lt;=0.005,0,MIN(E262+F263,Compare!$B$9))</f>
        <v>0</v>
      </c>
      <c r="H263" s="15" t="n">
        <f aca="false">MAX(0,H262+I263-J263)</f>
        <v>0</v>
      </c>
      <c r="I263" s="15" t="n">
        <f aca="false">IF(H262&lt;=0.005,0,H262*Compare!$B$4/12)</f>
        <v>0</v>
      </c>
      <c r="J263" s="15" t="n">
        <f aca="false">IF(H262&lt;=0.005,0,MIN(H262+I263,Compare!$B$9+Compare!$B$8))</f>
        <v>0</v>
      </c>
    </row>
    <row r="264" customFormat="false" ht="15" hidden="false" customHeight="false" outlineLevel="0" collapsed="false">
      <c r="A264" s="3" t="n">
        <v>261</v>
      </c>
      <c r="B264" s="15" t="n">
        <f aca="false">MAX(0,B263+C264-D264)</f>
        <v>0</v>
      </c>
      <c r="C264" s="15" t="n">
        <f aca="false">IF(B263&lt;=0.005,0,B263*Compare!$B$4/12)</f>
        <v>0</v>
      </c>
      <c r="D264" s="15" t="n">
        <f aca="false">IF(B263&lt;=0.005,0,MIN(B263+C264,MAX(Compare!$B$7,B263*Compare!$B$5+IF(Compare!$B$6="Yes",C264,0))))</f>
        <v>0</v>
      </c>
      <c r="E264" s="15" t="n">
        <f aca="false">MAX(0,E263+F264-G264)</f>
        <v>0</v>
      </c>
      <c r="F264" s="15" t="n">
        <f aca="false">IF(E263&lt;=0.005,0,E263*Compare!$B$4/12)</f>
        <v>0</v>
      </c>
      <c r="G264" s="15" t="n">
        <f aca="false">IF(E263&lt;=0.005,0,MIN(E263+F264,Compare!$B$9))</f>
        <v>0</v>
      </c>
      <c r="H264" s="15" t="n">
        <f aca="false">MAX(0,H263+I264-J264)</f>
        <v>0</v>
      </c>
      <c r="I264" s="15" t="n">
        <f aca="false">IF(H263&lt;=0.005,0,H263*Compare!$B$4/12)</f>
        <v>0</v>
      </c>
      <c r="J264" s="15" t="n">
        <f aca="false">IF(H263&lt;=0.005,0,MIN(H263+I264,Compare!$B$9+Compare!$B$8))</f>
        <v>0</v>
      </c>
    </row>
    <row r="265" customFormat="false" ht="15" hidden="false" customHeight="false" outlineLevel="0" collapsed="false">
      <c r="A265" s="3" t="n">
        <v>262</v>
      </c>
      <c r="B265" s="15" t="n">
        <f aca="false">MAX(0,B264+C265-D265)</f>
        <v>0</v>
      </c>
      <c r="C265" s="15" t="n">
        <f aca="false">IF(B264&lt;=0.005,0,B264*Compare!$B$4/12)</f>
        <v>0</v>
      </c>
      <c r="D265" s="15" t="n">
        <f aca="false">IF(B264&lt;=0.005,0,MIN(B264+C265,MAX(Compare!$B$7,B264*Compare!$B$5+IF(Compare!$B$6="Yes",C265,0))))</f>
        <v>0</v>
      </c>
      <c r="E265" s="15" t="n">
        <f aca="false">MAX(0,E264+F265-G265)</f>
        <v>0</v>
      </c>
      <c r="F265" s="15" t="n">
        <f aca="false">IF(E264&lt;=0.005,0,E264*Compare!$B$4/12)</f>
        <v>0</v>
      </c>
      <c r="G265" s="15" t="n">
        <f aca="false">IF(E264&lt;=0.005,0,MIN(E264+F265,Compare!$B$9))</f>
        <v>0</v>
      </c>
      <c r="H265" s="15" t="n">
        <f aca="false">MAX(0,H264+I265-J265)</f>
        <v>0</v>
      </c>
      <c r="I265" s="15" t="n">
        <f aca="false">IF(H264&lt;=0.005,0,H264*Compare!$B$4/12)</f>
        <v>0</v>
      </c>
      <c r="J265" s="15" t="n">
        <f aca="false">IF(H264&lt;=0.005,0,MIN(H264+I265,Compare!$B$9+Compare!$B$8))</f>
        <v>0</v>
      </c>
    </row>
    <row r="266" customFormat="false" ht="15" hidden="false" customHeight="false" outlineLevel="0" collapsed="false">
      <c r="A266" s="3" t="n">
        <v>263</v>
      </c>
      <c r="B266" s="15" t="n">
        <f aca="false">MAX(0,B265+C266-D266)</f>
        <v>0</v>
      </c>
      <c r="C266" s="15" t="n">
        <f aca="false">IF(B265&lt;=0.005,0,B265*Compare!$B$4/12)</f>
        <v>0</v>
      </c>
      <c r="D266" s="15" t="n">
        <f aca="false">IF(B265&lt;=0.005,0,MIN(B265+C266,MAX(Compare!$B$7,B265*Compare!$B$5+IF(Compare!$B$6="Yes",C266,0))))</f>
        <v>0</v>
      </c>
      <c r="E266" s="15" t="n">
        <f aca="false">MAX(0,E265+F266-G266)</f>
        <v>0</v>
      </c>
      <c r="F266" s="15" t="n">
        <f aca="false">IF(E265&lt;=0.005,0,E265*Compare!$B$4/12)</f>
        <v>0</v>
      </c>
      <c r="G266" s="15" t="n">
        <f aca="false">IF(E265&lt;=0.005,0,MIN(E265+F266,Compare!$B$9))</f>
        <v>0</v>
      </c>
      <c r="H266" s="15" t="n">
        <f aca="false">MAX(0,H265+I266-J266)</f>
        <v>0</v>
      </c>
      <c r="I266" s="15" t="n">
        <f aca="false">IF(H265&lt;=0.005,0,H265*Compare!$B$4/12)</f>
        <v>0</v>
      </c>
      <c r="J266" s="15" t="n">
        <f aca="false">IF(H265&lt;=0.005,0,MIN(H265+I266,Compare!$B$9+Compare!$B$8))</f>
        <v>0</v>
      </c>
    </row>
    <row r="267" customFormat="false" ht="15" hidden="false" customHeight="false" outlineLevel="0" collapsed="false">
      <c r="A267" s="3" t="n">
        <v>264</v>
      </c>
      <c r="B267" s="15" t="n">
        <f aca="false">MAX(0,B266+C267-D267)</f>
        <v>0</v>
      </c>
      <c r="C267" s="15" t="n">
        <f aca="false">IF(B266&lt;=0.005,0,B266*Compare!$B$4/12)</f>
        <v>0</v>
      </c>
      <c r="D267" s="15" t="n">
        <f aca="false">IF(B266&lt;=0.005,0,MIN(B266+C267,MAX(Compare!$B$7,B266*Compare!$B$5+IF(Compare!$B$6="Yes",C267,0))))</f>
        <v>0</v>
      </c>
      <c r="E267" s="15" t="n">
        <f aca="false">MAX(0,E266+F267-G267)</f>
        <v>0</v>
      </c>
      <c r="F267" s="15" t="n">
        <f aca="false">IF(E266&lt;=0.005,0,E266*Compare!$B$4/12)</f>
        <v>0</v>
      </c>
      <c r="G267" s="15" t="n">
        <f aca="false">IF(E266&lt;=0.005,0,MIN(E266+F267,Compare!$B$9))</f>
        <v>0</v>
      </c>
      <c r="H267" s="15" t="n">
        <f aca="false">MAX(0,H266+I267-J267)</f>
        <v>0</v>
      </c>
      <c r="I267" s="15" t="n">
        <f aca="false">IF(H266&lt;=0.005,0,H266*Compare!$B$4/12)</f>
        <v>0</v>
      </c>
      <c r="J267" s="15" t="n">
        <f aca="false">IF(H266&lt;=0.005,0,MIN(H266+I267,Compare!$B$9+Compare!$B$8))</f>
        <v>0</v>
      </c>
    </row>
    <row r="268" customFormat="false" ht="15" hidden="false" customHeight="false" outlineLevel="0" collapsed="false">
      <c r="A268" s="3" t="n">
        <v>265</v>
      </c>
      <c r="B268" s="15" t="n">
        <f aca="false">MAX(0,B267+C268-D268)</f>
        <v>0</v>
      </c>
      <c r="C268" s="15" t="n">
        <f aca="false">IF(B267&lt;=0.005,0,B267*Compare!$B$4/12)</f>
        <v>0</v>
      </c>
      <c r="D268" s="15" t="n">
        <f aca="false">IF(B267&lt;=0.005,0,MIN(B267+C268,MAX(Compare!$B$7,B267*Compare!$B$5+IF(Compare!$B$6="Yes",C268,0))))</f>
        <v>0</v>
      </c>
      <c r="E268" s="15" t="n">
        <f aca="false">MAX(0,E267+F268-G268)</f>
        <v>0</v>
      </c>
      <c r="F268" s="15" t="n">
        <f aca="false">IF(E267&lt;=0.005,0,E267*Compare!$B$4/12)</f>
        <v>0</v>
      </c>
      <c r="G268" s="15" t="n">
        <f aca="false">IF(E267&lt;=0.005,0,MIN(E267+F268,Compare!$B$9))</f>
        <v>0</v>
      </c>
      <c r="H268" s="15" t="n">
        <f aca="false">MAX(0,H267+I268-J268)</f>
        <v>0</v>
      </c>
      <c r="I268" s="15" t="n">
        <f aca="false">IF(H267&lt;=0.005,0,H267*Compare!$B$4/12)</f>
        <v>0</v>
      </c>
      <c r="J268" s="15" t="n">
        <f aca="false">IF(H267&lt;=0.005,0,MIN(H267+I268,Compare!$B$9+Compare!$B$8))</f>
        <v>0</v>
      </c>
    </row>
    <row r="269" customFormat="false" ht="15" hidden="false" customHeight="false" outlineLevel="0" collapsed="false">
      <c r="A269" s="3" t="n">
        <v>266</v>
      </c>
      <c r="B269" s="15" t="n">
        <f aca="false">MAX(0,B268+C269-D269)</f>
        <v>0</v>
      </c>
      <c r="C269" s="15" t="n">
        <f aca="false">IF(B268&lt;=0.005,0,B268*Compare!$B$4/12)</f>
        <v>0</v>
      </c>
      <c r="D269" s="15" t="n">
        <f aca="false">IF(B268&lt;=0.005,0,MIN(B268+C269,MAX(Compare!$B$7,B268*Compare!$B$5+IF(Compare!$B$6="Yes",C269,0))))</f>
        <v>0</v>
      </c>
      <c r="E269" s="15" t="n">
        <f aca="false">MAX(0,E268+F269-G269)</f>
        <v>0</v>
      </c>
      <c r="F269" s="15" t="n">
        <f aca="false">IF(E268&lt;=0.005,0,E268*Compare!$B$4/12)</f>
        <v>0</v>
      </c>
      <c r="G269" s="15" t="n">
        <f aca="false">IF(E268&lt;=0.005,0,MIN(E268+F269,Compare!$B$9))</f>
        <v>0</v>
      </c>
      <c r="H269" s="15" t="n">
        <f aca="false">MAX(0,H268+I269-J269)</f>
        <v>0</v>
      </c>
      <c r="I269" s="15" t="n">
        <f aca="false">IF(H268&lt;=0.005,0,H268*Compare!$B$4/12)</f>
        <v>0</v>
      </c>
      <c r="J269" s="15" t="n">
        <f aca="false">IF(H268&lt;=0.005,0,MIN(H268+I269,Compare!$B$9+Compare!$B$8))</f>
        <v>0</v>
      </c>
    </row>
    <row r="270" customFormat="false" ht="15" hidden="false" customHeight="false" outlineLevel="0" collapsed="false">
      <c r="A270" s="3" t="n">
        <v>267</v>
      </c>
      <c r="B270" s="15" t="n">
        <f aca="false">MAX(0,B269+C270-D270)</f>
        <v>0</v>
      </c>
      <c r="C270" s="15" t="n">
        <f aca="false">IF(B269&lt;=0.005,0,B269*Compare!$B$4/12)</f>
        <v>0</v>
      </c>
      <c r="D270" s="15" t="n">
        <f aca="false">IF(B269&lt;=0.005,0,MIN(B269+C270,MAX(Compare!$B$7,B269*Compare!$B$5+IF(Compare!$B$6="Yes",C270,0))))</f>
        <v>0</v>
      </c>
      <c r="E270" s="15" t="n">
        <f aca="false">MAX(0,E269+F270-G270)</f>
        <v>0</v>
      </c>
      <c r="F270" s="15" t="n">
        <f aca="false">IF(E269&lt;=0.005,0,E269*Compare!$B$4/12)</f>
        <v>0</v>
      </c>
      <c r="G270" s="15" t="n">
        <f aca="false">IF(E269&lt;=0.005,0,MIN(E269+F270,Compare!$B$9))</f>
        <v>0</v>
      </c>
      <c r="H270" s="15" t="n">
        <f aca="false">MAX(0,H269+I270-J270)</f>
        <v>0</v>
      </c>
      <c r="I270" s="15" t="n">
        <f aca="false">IF(H269&lt;=0.005,0,H269*Compare!$B$4/12)</f>
        <v>0</v>
      </c>
      <c r="J270" s="15" t="n">
        <f aca="false">IF(H269&lt;=0.005,0,MIN(H269+I270,Compare!$B$9+Compare!$B$8))</f>
        <v>0</v>
      </c>
    </row>
    <row r="271" customFormat="false" ht="15" hidden="false" customHeight="false" outlineLevel="0" collapsed="false">
      <c r="A271" s="3" t="n">
        <v>268</v>
      </c>
      <c r="B271" s="15" t="n">
        <f aca="false">MAX(0,B270+C271-D271)</f>
        <v>0</v>
      </c>
      <c r="C271" s="15" t="n">
        <f aca="false">IF(B270&lt;=0.005,0,B270*Compare!$B$4/12)</f>
        <v>0</v>
      </c>
      <c r="D271" s="15" t="n">
        <f aca="false">IF(B270&lt;=0.005,0,MIN(B270+C271,MAX(Compare!$B$7,B270*Compare!$B$5+IF(Compare!$B$6="Yes",C271,0))))</f>
        <v>0</v>
      </c>
      <c r="E271" s="15" t="n">
        <f aca="false">MAX(0,E270+F271-G271)</f>
        <v>0</v>
      </c>
      <c r="F271" s="15" t="n">
        <f aca="false">IF(E270&lt;=0.005,0,E270*Compare!$B$4/12)</f>
        <v>0</v>
      </c>
      <c r="G271" s="15" t="n">
        <f aca="false">IF(E270&lt;=0.005,0,MIN(E270+F271,Compare!$B$9))</f>
        <v>0</v>
      </c>
      <c r="H271" s="15" t="n">
        <f aca="false">MAX(0,H270+I271-J271)</f>
        <v>0</v>
      </c>
      <c r="I271" s="15" t="n">
        <f aca="false">IF(H270&lt;=0.005,0,H270*Compare!$B$4/12)</f>
        <v>0</v>
      </c>
      <c r="J271" s="15" t="n">
        <f aca="false">IF(H270&lt;=0.005,0,MIN(H270+I271,Compare!$B$9+Compare!$B$8))</f>
        <v>0</v>
      </c>
    </row>
    <row r="272" customFormat="false" ht="15" hidden="false" customHeight="false" outlineLevel="0" collapsed="false">
      <c r="A272" s="3" t="n">
        <v>269</v>
      </c>
      <c r="B272" s="15" t="n">
        <f aca="false">MAX(0,B271+C272-D272)</f>
        <v>0</v>
      </c>
      <c r="C272" s="15" t="n">
        <f aca="false">IF(B271&lt;=0.005,0,B271*Compare!$B$4/12)</f>
        <v>0</v>
      </c>
      <c r="D272" s="15" t="n">
        <f aca="false">IF(B271&lt;=0.005,0,MIN(B271+C272,MAX(Compare!$B$7,B271*Compare!$B$5+IF(Compare!$B$6="Yes",C272,0))))</f>
        <v>0</v>
      </c>
      <c r="E272" s="15" t="n">
        <f aca="false">MAX(0,E271+F272-G272)</f>
        <v>0</v>
      </c>
      <c r="F272" s="15" t="n">
        <f aca="false">IF(E271&lt;=0.005,0,E271*Compare!$B$4/12)</f>
        <v>0</v>
      </c>
      <c r="G272" s="15" t="n">
        <f aca="false">IF(E271&lt;=0.005,0,MIN(E271+F272,Compare!$B$9))</f>
        <v>0</v>
      </c>
      <c r="H272" s="15" t="n">
        <f aca="false">MAX(0,H271+I272-J272)</f>
        <v>0</v>
      </c>
      <c r="I272" s="15" t="n">
        <f aca="false">IF(H271&lt;=0.005,0,H271*Compare!$B$4/12)</f>
        <v>0</v>
      </c>
      <c r="J272" s="15" t="n">
        <f aca="false">IF(H271&lt;=0.005,0,MIN(H271+I272,Compare!$B$9+Compare!$B$8))</f>
        <v>0</v>
      </c>
    </row>
    <row r="273" customFormat="false" ht="15" hidden="false" customHeight="false" outlineLevel="0" collapsed="false">
      <c r="A273" s="3" t="n">
        <v>270</v>
      </c>
      <c r="B273" s="15" t="n">
        <f aca="false">MAX(0,B272+C273-D273)</f>
        <v>0</v>
      </c>
      <c r="C273" s="15" t="n">
        <f aca="false">IF(B272&lt;=0.005,0,B272*Compare!$B$4/12)</f>
        <v>0</v>
      </c>
      <c r="D273" s="15" t="n">
        <f aca="false">IF(B272&lt;=0.005,0,MIN(B272+C273,MAX(Compare!$B$7,B272*Compare!$B$5+IF(Compare!$B$6="Yes",C273,0))))</f>
        <v>0</v>
      </c>
      <c r="E273" s="15" t="n">
        <f aca="false">MAX(0,E272+F273-G273)</f>
        <v>0</v>
      </c>
      <c r="F273" s="15" t="n">
        <f aca="false">IF(E272&lt;=0.005,0,E272*Compare!$B$4/12)</f>
        <v>0</v>
      </c>
      <c r="G273" s="15" t="n">
        <f aca="false">IF(E272&lt;=0.005,0,MIN(E272+F273,Compare!$B$9))</f>
        <v>0</v>
      </c>
      <c r="H273" s="15" t="n">
        <f aca="false">MAX(0,H272+I273-J273)</f>
        <v>0</v>
      </c>
      <c r="I273" s="15" t="n">
        <f aca="false">IF(H272&lt;=0.005,0,H272*Compare!$B$4/12)</f>
        <v>0</v>
      </c>
      <c r="J273" s="15" t="n">
        <f aca="false">IF(H272&lt;=0.005,0,MIN(H272+I273,Compare!$B$9+Compare!$B$8))</f>
        <v>0</v>
      </c>
    </row>
    <row r="274" customFormat="false" ht="15" hidden="false" customHeight="false" outlineLevel="0" collapsed="false">
      <c r="A274" s="3" t="n">
        <v>271</v>
      </c>
      <c r="B274" s="15" t="n">
        <f aca="false">MAX(0,B273+C274-D274)</f>
        <v>0</v>
      </c>
      <c r="C274" s="15" t="n">
        <f aca="false">IF(B273&lt;=0.005,0,B273*Compare!$B$4/12)</f>
        <v>0</v>
      </c>
      <c r="D274" s="15" t="n">
        <f aca="false">IF(B273&lt;=0.005,0,MIN(B273+C274,MAX(Compare!$B$7,B273*Compare!$B$5+IF(Compare!$B$6="Yes",C274,0))))</f>
        <v>0</v>
      </c>
      <c r="E274" s="15" t="n">
        <f aca="false">MAX(0,E273+F274-G274)</f>
        <v>0</v>
      </c>
      <c r="F274" s="15" t="n">
        <f aca="false">IF(E273&lt;=0.005,0,E273*Compare!$B$4/12)</f>
        <v>0</v>
      </c>
      <c r="G274" s="15" t="n">
        <f aca="false">IF(E273&lt;=0.005,0,MIN(E273+F274,Compare!$B$9))</f>
        <v>0</v>
      </c>
      <c r="H274" s="15" t="n">
        <f aca="false">MAX(0,H273+I274-J274)</f>
        <v>0</v>
      </c>
      <c r="I274" s="15" t="n">
        <f aca="false">IF(H273&lt;=0.005,0,H273*Compare!$B$4/12)</f>
        <v>0</v>
      </c>
      <c r="J274" s="15" t="n">
        <f aca="false">IF(H273&lt;=0.005,0,MIN(H273+I274,Compare!$B$9+Compare!$B$8))</f>
        <v>0</v>
      </c>
    </row>
    <row r="275" customFormat="false" ht="15" hidden="false" customHeight="false" outlineLevel="0" collapsed="false">
      <c r="A275" s="3" t="n">
        <v>272</v>
      </c>
      <c r="B275" s="15" t="n">
        <f aca="false">MAX(0,B274+C275-D275)</f>
        <v>0</v>
      </c>
      <c r="C275" s="15" t="n">
        <f aca="false">IF(B274&lt;=0.005,0,B274*Compare!$B$4/12)</f>
        <v>0</v>
      </c>
      <c r="D275" s="15" t="n">
        <f aca="false">IF(B274&lt;=0.005,0,MIN(B274+C275,MAX(Compare!$B$7,B274*Compare!$B$5+IF(Compare!$B$6="Yes",C275,0))))</f>
        <v>0</v>
      </c>
      <c r="E275" s="15" t="n">
        <f aca="false">MAX(0,E274+F275-G275)</f>
        <v>0</v>
      </c>
      <c r="F275" s="15" t="n">
        <f aca="false">IF(E274&lt;=0.005,0,E274*Compare!$B$4/12)</f>
        <v>0</v>
      </c>
      <c r="G275" s="15" t="n">
        <f aca="false">IF(E274&lt;=0.005,0,MIN(E274+F275,Compare!$B$9))</f>
        <v>0</v>
      </c>
      <c r="H275" s="15" t="n">
        <f aca="false">MAX(0,H274+I275-J275)</f>
        <v>0</v>
      </c>
      <c r="I275" s="15" t="n">
        <f aca="false">IF(H274&lt;=0.005,0,H274*Compare!$B$4/12)</f>
        <v>0</v>
      </c>
      <c r="J275" s="15" t="n">
        <f aca="false">IF(H274&lt;=0.005,0,MIN(H274+I275,Compare!$B$9+Compare!$B$8))</f>
        <v>0</v>
      </c>
    </row>
    <row r="276" customFormat="false" ht="15" hidden="false" customHeight="false" outlineLevel="0" collapsed="false">
      <c r="A276" s="3" t="n">
        <v>273</v>
      </c>
      <c r="B276" s="15" t="n">
        <f aca="false">MAX(0,B275+C276-D276)</f>
        <v>0</v>
      </c>
      <c r="C276" s="15" t="n">
        <f aca="false">IF(B275&lt;=0.005,0,B275*Compare!$B$4/12)</f>
        <v>0</v>
      </c>
      <c r="D276" s="15" t="n">
        <f aca="false">IF(B275&lt;=0.005,0,MIN(B275+C276,MAX(Compare!$B$7,B275*Compare!$B$5+IF(Compare!$B$6="Yes",C276,0))))</f>
        <v>0</v>
      </c>
      <c r="E276" s="15" t="n">
        <f aca="false">MAX(0,E275+F276-G276)</f>
        <v>0</v>
      </c>
      <c r="F276" s="15" t="n">
        <f aca="false">IF(E275&lt;=0.005,0,E275*Compare!$B$4/12)</f>
        <v>0</v>
      </c>
      <c r="G276" s="15" t="n">
        <f aca="false">IF(E275&lt;=0.005,0,MIN(E275+F276,Compare!$B$9))</f>
        <v>0</v>
      </c>
      <c r="H276" s="15" t="n">
        <f aca="false">MAX(0,H275+I276-J276)</f>
        <v>0</v>
      </c>
      <c r="I276" s="15" t="n">
        <f aca="false">IF(H275&lt;=0.005,0,H275*Compare!$B$4/12)</f>
        <v>0</v>
      </c>
      <c r="J276" s="15" t="n">
        <f aca="false">IF(H275&lt;=0.005,0,MIN(H275+I276,Compare!$B$9+Compare!$B$8))</f>
        <v>0</v>
      </c>
    </row>
    <row r="277" customFormat="false" ht="15" hidden="false" customHeight="false" outlineLevel="0" collapsed="false">
      <c r="A277" s="3" t="n">
        <v>274</v>
      </c>
      <c r="B277" s="15" t="n">
        <f aca="false">MAX(0,B276+C277-D277)</f>
        <v>0</v>
      </c>
      <c r="C277" s="15" t="n">
        <f aca="false">IF(B276&lt;=0.005,0,B276*Compare!$B$4/12)</f>
        <v>0</v>
      </c>
      <c r="D277" s="15" t="n">
        <f aca="false">IF(B276&lt;=0.005,0,MIN(B276+C277,MAX(Compare!$B$7,B276*Compare!$B$5+IF(Compare!$B$6="Yes",C277,0))))</f>
        <v>0</v>
      </c>
      <c r="E277" s="15" t="n">
        <f aca="false">MAX(0,E276+F277-G277)</f>
        <v>0</v>
      </c>
      <c r="F277" s="15" t="n">
        <f aca="false">IF(E276&lt;=0.005,0,E276*Compare!$B$4/12)</f>
        <v>0</v>
      </c>
      <c r="G277" s="15" t="n">
        <f aca="false">IF(E276&lt;=0.005,0,MIN(E276+F277,Compare!$B$9))</f>
        <v>0</v>
      </c>
      <c r="H277" s="15" t="n">
        <f aca="false">MAX(0,H276+I277-J277)</f>
        <v>0</v>
      </c>
      <c r="I277" s="15" t="n">
        <f aca="false">IF(H276&lt;=0.005,0,H276*Compare!$B$4/12)</f>
        <v>0</v>
      </c>
      <c r="J277" s="15" t="n">
        <f aca="false">IF(H276&lt;=0.005,0,MIN(H276+I277,Compare!$B$9+Compare!$B$8))</f>
        <v>0</v>
      </c>
    </row>
    <row r="278" customFormat="false" ht="15" hidden="false" customHeight="false" outlineLevel="0" collapsed="false">
      <c r="A278" s="3" t="n">
        <v>275</v>
      </c>
      <c r="B278" s="15" t="n">
        <f aca="false">MAX(0,B277+C278-D278)</f>
        <v>0</v>
      </c>
      <c r="C278" s="15" t="n">
        <f aca="false">IF(B277&lt;=0.005,0,B277*Compare!$B$4/12)</f>
        <v>0</v>
      </c>
      <c r="D278" s="15" t="n">
        <f aca="false">IF(B277&lt;=0.005,0,MIN(B277+C278,MAX(Compare!$B$7,B277*Compare!$B$5+IF(Compare!$B$6="Yes",C278,0))))</f>
        <v>0</v>
      </c>
      <c r="E278" s="15" t="n">
        <f aca="false">MAX(0,E277+F278-G278)</f>
        <v>0</v>
      </c>
      <c r="F278" s="15" t="n">
        <f aca="false">IF(E277&lt;=0.005,0,E277*Compare!$B$4/12)</f>
        <v>0</v>
      </c>
      <c r="G278" s="15" t="n">
        <f aca="false">IF(E277&lt;=0.005,0,MIN(E277+F278,Compare!$B$9))</f>
        <v>0</v>
      </c>
      <c r="H278" s="15" t="n">
        <f aca="false">MAX(0,H277+I278-J278)</f>
        <v>0</v>
      </c>
      <c r="I278" s="15" t="n">
        <f aca="false">IF(H277&lt;=0.005,0,H277*Compare!$B$4/12)</f>
        <v>0</v>
      </c>
      <c r="J278" s="15" t="n">
        <f aca="false">IF(H277&lt;=0.005,0,MIN(H277+I278,Compare!$B$9+Compare!$B$8))</f>
        <v>0</v>
      </c>
    </row>
    <row r="279" customFormat="false" ht="15" hidden="false" customHeight="false" outlineLevel="0" collapsed="false">
      <c r="A279" s="3" t="n">
        <v>276</v>
      </c>
      <c r="B279" s="15" t="n">
        <f aca="false">MAX(0,B278+C279-D279)</f>
        <v>0</v>
      </c>
      <c r="C279" s="15" t="n">
        <f aca="false">IF(B278&lt;=0.005,0,B278*Compare!$B$4/12)</f>
        <v>0</v>
      </c>
      <c r="D279" s="15" t="n">
        <f aca="false">IF(B278&lt;=0.005,0,MIN(B278+C279,MAX(Compare!$B$7,B278*Compare!$B$5+IF(Compare!$B$6="Yes",C279,0))))</f>
        <v>0</v>
      </c>
      <c r="E279" s="15" t="n">
        <f aca="false">MAX(0,E278+F279-G279)</f>
        <v>0</v>
      </c>
      <c r="F279" s="15" t="n">
        <f aca="false">IF(E278&lt;=0.005,0,E278*Compare!$B$4/12)</f>
        <v>0</v>
      </c>
      <c r="G279" s="15" t="n">
        <f aca="false">IF(E278&lt;=0.005,0,MIN(E278+F279,Compare!$B$9))</f>
        <v>0</v>
      </c>
      <c r="H279" s="15" t="n">
        <f aca="false">MAX(0,H278+I279-J279)</f>
        <v>0</v>
      </c>
      <c r="I279" s="15" t="n">
        <f aca="false">IF(H278&lt;=0.005,0,H278*Compare!$B$4/12)</f>
        <v>0</v>
      </c>
      <c r="J279" s="15" t="n">
        <f aca="false">IF(H278&lt;=0.005,0,MIN(H278+I279,Compare!$B$9+Compare!$B$8))</f>
        <v>0</v>
      </c>
    </row>
    <row r="280" customFormat="false" ht="15" hidden="false" customHeight="false" outlineLevel="0" collapsed="false">
      <c r="A280" s="3" t="n">
        <v>277</v>
      </c>
      <c r="B280" s="15" t="n">
        <f aca="false">MAX(0,B279+C280-D280)</f>
        <v>0</v>
      </c>
      <c r="C280" s="15" t="n">
        <f aca="false">IF(B279&lt;=0.005,0,B279*Compare!$B$4/12)</f>
        <v>0</v>
      </c>
      <c r="D280" s="15" t="n">
        <f aca="false">IF(B279&lt;=0.005,0,MIN(B279+C280,MAX(Compare!$B$7,B279*Compare!$B$5+IF(Compare!$B$6="Yes",C280,0))))</f>
        <v>0</v>
      </c>
      <c r="E280" s="15" t="n">
        <f aca="false">MAX(0,E279+F280-G280)</f>
        <v>0</v>
      </c>
      <c r="F280" s="15" t="n">
        <f aca="false">IF(E279&lt;=0.005,0,E279*Compare!$B$4/12)</f>
        <v>0</v>
      </c>
      <c r="G280" s="15" t="n">
        <f aca="false">IF(E279&lt;=0.005,0,MIN(E279+F280,Compare!$B$9))</f>
        <v>0</v>
      </c>
      <c r="H280" s="15" t="n">
        <f aca="false">MAX(0,H279+I280-J280)</f>
        <v>0</v>
      </c>
      <c r="I280" s="15" t="n">
        <f aca="false">IF(H279&lt;=0.005,0,H279*Compare!$B$4/12)</f>
        <v>0</v>
      </c>
      <c r="J280" s="15" t="n">
        <f aca="false">IF(H279&lt;=0.005,0,MIN(H279+I280,Compare!$B$9+Compare!$B$8))</f>
        <v>0</v>
      </c>
    </row>
    <row r="281" customFormat="false" ht="15" hidden="false" customHeight="false" outlineLevel="0" collapsed="false">
      <c r="A281" s="3" t="n">
        <v>278</v>
      </c>
      <c r="B281" s="15" t="n">
        <f aca="false">MAX(0,B280+C281-D281)</f>
        <v>0</v>
      </c>
      <c r="C281" s="15" t="n">
        <f aca="false">IF(B280&lt;=0.005,0,B280*Compare!$B$4/12)</f>
        <v>0</v>
      </c>
      <c r="D281" s="15" t="n">
        <f aca="false">IF(B280&lt;=0.005,0,MIN(B280+C281,MAX(Compare!$B$7,B280*Compare!$B$5+IF(Compare!$B$6="Yes",C281,0))))</f>
        <v>0</v>
      </c>
      <c r="E281" s="15" t="n">
        <f aca="false">MAX(0,E280+F281-G281)</f>
        <v>0</v>
      </c>
      <c r="F281" s="15" t="n">
        <f aca="false">IF(E280&lt;=0.005,0,E280*Compare!$B$4/12)</f>
        <v>0</v>
      </c>
      <c r="G281" s="15" t="n">
        <f aca="false">IF(E280&lt;=0.005,0,MIN(E280+F281,Compare!$B$9))</f>
        <v>0</v>
      </c>
      <c r="H281" s="15" t="n">
        <f aca="false">MAX(0,H280+I281-J281)</f>
        <v>0</v>
      </c>
      <c r="I281" s="15" t="n">
        <f aca="false">IF(H280&lt;=0.005,0,H280*Compare!$B$4/12)</f>
        <v>0</v>
      </c>
      <c r="J281" s="15" t="n">
        <f aca="false">IF(H280&lt;=0.005,0,MIN(H280+I281,Compare!$B$9+Compare!$B$8))</f>
        <v>0</v>
      </c>
    </row>
    <row r="282" customFormat="false" ht="15" hidden="false" customHeight="false" outlineLevel="0" collapsed="false">
      <c r="A282" s="3" t="n">
        <v>279</v>
      </c>
      <c r="B282" s="15" t="n">
        <f aca="false">MAX(0,B281+C282-D282)</f>
        <v>0</v>
      </c>
      <c r="C282" s="15" t="n">
        <f aca="false">IF(B281&lt;=0.005,0,B281*Compare!$B$4/12)</f>
        <v>0</v>
      </c>
      <c r="D282" s="15" t="n">
        <f aca="false">IF(B281&lt;=0.005,0,MIN(B281+C282,MAX(Compare!$B$7,B281*Compare!$B$5+IF(Compare!$B$6="Yes",C282,0))))</f>
        <v>0</v>
      </c>
      <c r="E282" s="15" t="n">
        <f aca="false">MAX(0,E281+F282-G282)</f>
        <v>0</v>
      </c>
      <c r="F282" s="15" t="n">
        <f aca="false">IF(E281&lt;=0.005,0,E281*Compare!$B$4/12)</f>
        <v>0</v>
      </c>
      <c r="G282" s="15" t="n">
        <f aca="false">IF(E281&lt;=0.005,0,MIN(E281+F282,Compare!$B$9))</f>
        <v>0</v>
      </c>
      <c r="H282" s="15" t="n">
        <f aca="false">MAX(0,H281+I282-J282)</f>
        <v>0</v>
      </c>
      <c r="I282" s="15" t="n">
        <f aca="false">IF(H281&lt;=0.005,0,H281*Compare!$B$4/12)</f>
        <v>0</v>
      </c>
      <c r="J282" s="15" t="n">
        <f aca="false">IF(H281&lt;=0.005,0,MIN(H281+I282,Compare!$B$9+Compare!$B$8))</f>
        <v>0</v>
      </c>
    </row>
    <row r="283" customFormat="false" ht="15" hidden="false" customHeight="false" outlineLevel="0" collapsed="false">
      <c r="A283" s="3" t="n">
        <v>280</v>
      </c>
      <c r="B283" s="15" t="n">
        <f aca="false">MAX(0,B282+C283-D283)</f>
        <v>0</v>
      </c>
      <c r="C283" s="15" t="n">
        <f aca="false">IF(B282&lt;=0.005,0,B282*Compare!$B$4/12)</f>
        <v>0</v>
      </c>
      <c r="D283" s="15" t="n">
        <f aca="false">IF(B282&lt;=0.005,0,MIN(B282+C283,MAX(Compare!$B$7,B282*Compare!$B$5+IF(Compare!$B$6="Yes",C283,0))))</f>
        <v>0</v>
      </c>
      <c r="E283" s="15" t="n">
        <f aca="false">MAX(0,E282+F283-G283)</f>
        <v>0</v>
      </c>
      <c r="F283" s="15" t="n">
        <f aca="false">IF(E282&lt;=0.005,0,E282*Compare!$B$4/12)</f>
        <v>0</v>
      </c>
      <c r="G283" s="15" t="n">
        <f aca="false">IF(E282&lt;=0.005,0,MIN(E282+F283,Compare!$B$9))</f>
        <v>0</v>
      </c>
      <c r="H283" s="15" t="n">
        <f aca="false">MAX(0,H282+I283-J283)</f>
        <v>0</v>
      </c>
      <c r="I283" s="15" t="n">
        <f aca="false">IF(H282&lt;=0.005,0,H282*Compare!$B$4/12)</f>
        <v>0</v>
      </c>
      <c r="J283" s="15" t="n">
        <f aca="false">IF(H282&lt;=0.005,0,MIN(H282+I283,Compare!$B$9+Compare!$B$8))</f>
        <v>0</v>
      </c>
    </row>
    <row r="284" customFormat="false" ht="15" hidden="false" customHeight="false" outlineLevel="0" collapsed="false">
      <c r="A284" s="3" t="n">
        <v>281</v>
      </c>
      <c r="B284" s="15" t="n">
        <f aca="false">MAX(0,B283+C284-D284)</f>
        <v>0</v>
      </c>
      <c r="C284" s="15" t="n">
        <f aca="false">IF(B283&lt;=0.005,0,B283*Compare!$B$4/12)</f>
        <v>0</v>
      </c>
      <c r="D284" s="15" t="n">
        <f aca="false">IF(B283&lt;=0.005,0,MIN(B283+C284,MAX(Compare!$B$7,B283*Compare!$B$5+IF(Compare!$B$6="Yes",C284,0))))</f>
        <v>0</v>
      </c>
      <c r="E284" s="15" t="n">
        <f aca="false">MAX(0,E283+F284-G284)</f>
        <v>0</v>
      </c>
      <c r="F284" s="15" t="n">
        <f aca="false">IF(E283&lt;=0.005,0,E283*Compare!$B$4/12)</f>
        <v>0</v>
      </c>
      <c r="G284" s="15" t="n">
        <f aca="false">IF(E283&lt;=0.005,0,MIN(E283+F284,Compare!$B$9))</f>
        <v>0</v>
      </c>
      <c r="H284" s="15" t="n">
        <f aca="false">MAX(0,H283+I284-J284)</f>
        <v>0</v>
      </c>
      <c r="I284" s="15" t="n">
        <f aca="false">IF(H283&lt;=0.005,0,H283*Compare!$B$4/12)</f>
        <v>0</v>
      </c>
      <c r="J284" s="15" t="n">
        <f aca="false">IF(H283&lt;=0.005,0,MIN(H283+I284,Compare!$B$9+Compare!$B$8))</f>
        <v>0</v>
      </c>
    </row>
    <row r="285" customFormat="false" ht="15" hidden="false" customHeight="false" outlineLevel="0" collapsed="false">
      <c r="A285" s="3" t="n">
        <v>282</v>
      </c>
      <c r="B285" s="15" t="n">
        <f aca="false">MAX(0,B284+C285-D285)</f>
        <v>0</v>
      </c>
      <c r="C285" s="15" t="n">
        <f aca="false">IF(B284&lt;=0.005,0,B284*Compare!$B$4/12)</f>
        <v>0</v>
      </c>
      <c r="D285" s="15" t="n">
        <f aca="false">IF(B284&lt;=0.005,0,MIN(B284+C285,MAX(Compare!$B$7,B284*Compare!$B$5+IF(Compare!$B$6="Yes",C285,0))))</f>
        <v>0</v>
      </c>
      <c r="E285" s="15" t="n">
        <f aca="false">MAX(0,E284+F285-G285)</f>
        <v>0</v>
      </c>
      <c r="F285" s="15" t="n">
        <f aca="false">IF(E284&lt;=0.005,0,E284*Compare!$B$4/12)</f>
        <v>0</v>
      </c>
      <c r="G285" s="15" t="n">
        <f aca="false">IF(E284&lt;=0.005,0,MIN(E284+F285,Compare!$B$9))</f>
        <v>0</v>
      </c>
      <c r="H285" s="15" t="n">
        <f aca="false">MAX(0,H284+I285-J285)</f>
        <v>0</v>
      </c>
      <c r="I285" s="15" t="n">
        <f aca="false">IF(H284&lt;=0.005,0,H284*Compare!$B$4/12)</f>
        <v>0</v>
      </c>
      <c r="J285" s="15" t="n">
        <f aca="false">IF(H284&lt;=0.005,0,MIN(H284+I285,Compare!$B$9+Compare!$B$8))</f>
        <v>0</v>
      </c>
    </row>
    <row r="286" customFormat="false" ht="15" hidden="false" customHeight="false" outlineLevel="0" collapsed="false">
      <c r="A286" s="3" t="n">
        <v>283</v>
      </c>
      <c r="B286" s="15" t="n">
        <f aca="false">MAX(0,B285+C286-D286)</f>
        <v>0</v>
      </c>
      <c r="C286" s="15" t="n">
        <f aca="false">IF(B285&lt;=0.005,0,B285*Compare!$B$4/12)</f>
        <v>0</v>
      </c>
      <c r="D286" s="15" t="n">
        <f aca="false">IF(B285&lt;=0.005,0,MIN(B285+C286,MAX(Compare!$B$7,B285*Compare!$B$5+IF(Compare!$B$6="Yes",C286,0))))</f>
        <v>0</v>
      </c>
      <c r="E286" s="15" t="n">
        <f aca="false">MAX(0,E285+F286-G286)</f>
        <v>0</v>
      </c>
      <c r="F286" s="15" t="n">
        <f aca="false">IF(E285&lt;=0.005,0,E285*Compare!$B$4/12)</f>
        <v>0</v>
      </c>
      <c r="G286" s="15" t="n">
        <f aca="false">IF(E285&lt;=0.005,0,MIN(E285+F286,Compare!$B$9))</f>
        <v>0</v>
      </c>
      <c r="H286" s="15" t="n">
        <f aca="false">MAX(0,H285+I286-J286)</f>
        <v>0</v>
      </c>
      <c r="I286" s="15" t="n">
        <f aca="false">IF(H285&lt;=0.005,0,H285*Compare!$B$4/12)</f>
        <v>0</v>
      </c>
      <c r="J286" s="15" t="n">
        <f aca="false">IF(H285&lt;=0.005,0,MIN(H285+I286,Compare!$B$9+Compare!$B$8))</f>
        <v>0</v>
      </c>
    </row>
    <row r="287" customFormat="false" ht="15" hidden="false" customHeight="false" outlineLevel="0" collapsed="false">
      <c r="A287" s="3" t="n">
        <v>284</v>
      </c>
      <c r="B287" s="15" t="n">
        <f aca="false">MAX(0,B286+C287-D287)</f>
        <v>0</v>
      </c>
      <c r="C287" s="15" t="n">
        <f aca="false">IF(B286&lt;=0.005,0,B286*Compare!$B$4/12)</f>
        <v>0</v>
      </c>
      <c r="D287" s="15" t="n">
        <f aca="false">IF(B286&lt;=0.005,0,MIN(B286+C287,MAX(Compare!$B$7,B286*Compare!$B$5+IF(Compare!$B$6="Yes",C287,0))))</f>
        <v>0</v>
      </c>
      <c r="E287" s="15" t="n">
        <f aca="false">MAX(0,E286+F287-G287)</f>
        <v>0</v>
      </c>
      <c r="F287" s="15" t="n">
        <f aca="false">IF(E286&lt;=0.005,0,E286*Compare!$B$4/12)</f>
        <v>0</v>
      </c>
      <c r="G287" s="15" t="n">
        <f aca="false">IF(E286&lt;=0.005,0,MIN(E286+F287,Compare!$B$9))</f>
        <v>0</v>
      </c>
      <c r="H287" s="15" t="n">
        <f aca="false">MAX(0,H286+I287-J287)</f>
        <v>0</v>
      </c>
      <c r="I287" s="15" t="n">
        <f aca="false">IF(H286&lt;=0.005,0,H286*Compare!$B$4/12)</f>
        <v>0</v>
      </c>
      <c r="J287" s="15" t="n">
        <f aca="false">IF(H286&lt;=0.005,0,MIN(H286+I287,Compare!$B$9+Compare!$B$8))</f>
        <v>0</v>
      </c>
    </row>
    <row r="288" customFormat="false" ht="15" hidden="false" customHeight="false" outlineLevel="0" collapsed="false">
      <c r="A288" s="3" t="n">
        <v>285</v>
      </c>
      <c r="B288" s="15" t="n">
        <f aca="false">MAX(0,B287+C288-D288)</f>
        <v>0</v>
      </c>
      <c r="C288" s="15" t="n">
        <f aca="false">IF(B287&lt;=0.005,0,B287*Compare!$B$4/12)</f>
        <v>0</v>
      </c>
      <c r="D288" s="15" t="n">
        <f aca="false">IF(B287&lt;=0.005,0,MIN(B287+C288,MAX(Compare!$B$7,B287*Compare!$B$5+IF(Compare!$B$6="Yes",C288,0))))</f>
        <v>0</v>
      </c>
      <c r="E288" s="15" t="n">
        <f aca="false">MAX(0,E287+F288-G288)</f>
        <v>0</v>
      </c>
      <c r="F288" s="15" t="n">
        <f aca="false">IF(E287&lt;=0.005,0,E287*Compare!$B$4/12)</f>
        <v>0</v>
      </c>
      <c r="G288" s="15" t="n">
        <f aca="false">IF(E287&lt;=0.005,0,MIN(E287+F288,Compare!$B$9))</f>
        <v>0</v>
      </c>
      <c r="H288" s="15" t="n">
        <f aca="false">MAX(0,H287+I288-J288)</f>
        <v>0</v>
      </c>
      <c r="I288" s="15" t="n">
        <f aca="false">IF(H287&lt;=0.005,0,H287*Compare!$B$4/12)</f>
        <v>0</v>
      </c>
      <c r="J288" s="15" t="n">
        <f aca="false">IF(H287&lt;=0.005,0,MIN(H287+I288,Compare!$B$9+Compare!$B$8))</f>
        <v>0</v>
      </c>
    </row>
    <row r="289" customFormat="false" ht="15" hidden="false" customHeight="false" outlineLevel="0" collapsed="false">
      <c r="A289" s="3" t="n">
        <v>286</v>
      </c>
      <c r="B289" s="15" t="n">
        <f aca="false">MAX(0,B288+C289-D289)</f>
        <v>0</v>
      </c>
      <c r="C289" s="15" t="n">
        <f aca="false">IF(B288&lt;=0.005,0,B288*Compare!$B$4/12)</f>
        <v>0</v>
      </c>
      <c r="D289" s="15" t="n">
        <f aca="false">IF(B288&lt;=0.005,0,MIN(B288+C289,MAX(Compare!$B$7,B288*Compare!$B$5+IF(Compare!$B$6="Yes",C289,0))))</f>
        <v>0</v>
      </c>
      <c r="E289" s="15" t="n">
        <f aca="false">MAX(0,E288+F289-G289)</f>
        <v>0</v>
      </c>
      <c r="F289" s="15" t="n">
        <f aca="false">IF(E288&lt;=0.005,0,E288*Compare!$B$4/12)</f>
        <v>0</v>
      </c>
      <c r="G289" s="15" t="n">
        <f aca="false">IF(E288&lt;=0.005,0,MIN(E288+F289,Compare!$B$9))</f>
        <v>0</v>
      </c>
      <c r="H289" s="15" t="n">
        <f aca="false">MAX(0,H288+I289-J289)</f>
        <v>0</v>
      </c>
      <c r="I289" s="15" t="n">
        <f aca="false">IF(H288&lt;=0.005,0,H288*Compare!$B$4/12)</f>
        <v>0</v>
      </c>
      <c r="J289" s="15" t="n">
        <f aca="false">IF(H288&lt;=0.005,0,MIN(H288+I289,Compare!$B$9+Compare!$B$8))</f>
        <v>0</v>
      </c>
    </row>
    <row r="290" customFormat="false" ht="15" hidden="false" customHeight="false" outlineLevel="0" collapsed="false">
      <c r="A290" s="3" t="n">
        <v>287</v>
      </c>
      <c r="B290" s="15" t="n">
        <f aca="false">MAX(0,B289+C290-D290)</f>
        <v>0</v>
      </c>
      <c r="C290" s="15" t="n">
        <f aca="false">IF(B289&lt;=0.005,0,B289*Compare!$B$4/12)</f>
        <v>0</v>
      </c>
      <c r="D290" s="15" t="n">
        <f aca="false">IF(B289&lt;=0.005,0,MIN(B289+C290,MAX(Compare!$B$7,B289*Compare!$B$5+IF(Compare!$B$6="Yes",C290,0))))</f>
        <v>0</v>
      </c>
      <c r="E290" s="15" t="n">
        <f aca="false">MAX(0,E289+F290-G290)</f>
        <v>0</v>
      </c>
      <c r="F290" s="15" t="n">
        <f aca="false">IF(E289&lt;=0.005,0,E289*Compare!$B$4/12)</f>
        <v>0</v>
      </c>
      <c r="G290" s="15" t="n">
        <f aca="false">IF(E289&lt;=0.005,0,MIN(E289+F290,Compare!$B$9))</f>
        <v>0</v>
      </c>
      <c r="H290" s="15" t="n">
        <f aca="false">MAX(0,H289+I290-J290)</f>
        <v>0</v>
      </c>
      <c r="I290" s="15" t="n">
        <f aca="false">IF(H289&lt;=0.005,0,H289*Compare!$B$4/12)</f>
        <v>0</v>
      </c>
      <c r="J290" s="15" t="n">
        <f aca="false">IF(H289&lt;=0.005,0,MIN(H289+I290,Compare!$B$9+Compare!$B$8))</f>
        <v>0</v>
      </c>
    </row>
    <row r="291" customFormat="false" ht="15" hidden="false" customHeight="false" outlineLevel="0" collapsed="false">
      <c r="A291" s="3" t="n">
        <v>288</v>
      </c>
      <c r="B291" s="15" t="n">
        <f aca="false">MAX(0,B290+C291-D291)</f>
        <v>0</v>
      </c>
      <c r="C291" s="15" t="n">
        <f aca="false">IF(B290&lt;=0.005,0,B290*Compare!$B$4/12)</f>
        <v>0</v>
      </c>
      <c r="D291" s="15" t="n">
        <f aca="false">IF(B290&lt;=0.005,0,MIN(B290+C291,MAX(Compare!$B$7,B290*Compare!$B$5+IF(Compare!$B$6="Yes",C291,0))))</f>
        <v>0</v>
      </c>
      <c r="E291" s="15" t="n">
        <f aca="false">MAX(0,E290+F291-G291)</f>
        <v>0</v>
      </c>
      <c r="F291" s="15" t="n">
        <f aca="false">IF(E290&lt;=0.005,0,E290*Compare!$B$4/12)</f>
        <v>0</v>
      </c>
      <c r="G291" s="15" t="n">
        <f aca="false">IF(E290&lt;=0.005,0,MIN(E290+F291,Compare!$B$9))</f>
        <v>0</v>
      </c>
      <c r="H291" s="15" t="n">
        <f aca="false">MAX(0,H290+I291-J291)</f>
        <v>0</v>
      </c>
      <c r="I291" s="15" t="n">
        <f aca="false">IF(H290&lt;=0.005,0,H290*Compare!$B$4/12)</f>
        <v>0</v>
      </c>
      <c r="J291" s="15" t="n">
        <f aca="false">IF(H290&lt;=0.005,0,MIN(H290+I291,Compare!$B$9+Compare!$B$8))</f>
        <v>0</v>
      </c>
    </row>
    <row r="292" customFormat="false" ht="15" hidden="false" customHeight="false" outlineLevel="0" collapsed="false">
      <c r="A292" s="3" t="n">
        <v>289</v>
      </c>
      <c r="B292" s="15" t="n">
        <f aca="false">MAX(0,B291+C292-D292)</f>
        <v>0</v>
      </c>
      <c r="C292" s="15" t="n">
        <f aca="false">IF(B291&lt;=0.005,0,B291*Compare!$B$4/12)</f>
        <v>0</v>
      </c>
      <c r="D292" s="15" t="n">
        <f aca="false">IF(B291&lt;=0.005,0,MIN(B291+C292,MAX(Compare!$B$7,B291*Compare!$B$5+IF(Compare!$B$6="Yes",C292,0))))</f>
        <v>0</v>
      </c>
      <c r="E292" s="15" t="n">
        <f aca="false">MAX(0,E291+F292-G292)</f>
        <v>0</v>
      </c>
      <c r="F292" s="15" t="n">
        <f aca="false">IF(E291&lt;=0.005,0,E291*Compare!$B$4/12)</f>
        <v>0</v>
      </c>
      <c r="G292" s="15" t="n">
        <f aca="false">IF(E291&lt;=0.005,0,MIN(E291+F292,Compare!$B$9))</f>
        <v>0</v>
      </c>
      <c r="H292" s="15" t="n">
        <f aca="false">MAX(0,H291+I292-J292)</f>
        <v>0</v>
      </c>
      <c r="I292" s="15" t="n">
        <f aca="false">IF(H291&lt;=0.005,0,H291*Compare!$B$4/12)</f>
        <v>0</v>
      </c>
      <c r="J292" s="15" t="n">
        <f aca="false">IF(H291&lt;=0.005,0,MIN(H291+I292,Compare!$B$9+Compare!$B$8))</f>
        <v>0</v>
      </c>
    </row>
    <row r="293" customFormat="false" ht="15" hidden="false" customHeight="false" outlineLevel="0" collapsed="false">
      <c r="A293" s="3" t="n">
        <v>290</v>
      </c>
      <c r="B293" s="15" t="n">
        <f aca="false">MAX(0,B292+C293-D293)</f>
        <v>0</v>
      </c>
      <c r="C293" s="15" t="n">
        <f aca="false">IF(B292&lt;=0.005,0,B292*Compare!$B$4/12)</f>
        <v>0</v>
      </c>
      <c r="D293" s="15" t="n">
        <f aca="false">IF(B292&lt;=0.005,0,MIN(B292+C293,MAX(Compare!$B$7,B292*Compare!$B$5+IF(Compare!$B$6="Yes",C293,0))))</f>
        <v>0</v>
      </c>
      <c r="E293" s="15" t="n">
        <f aca="false">MAX(0,E292+F293-G293)</f>
        <v>0</v>
      </c>
      <c r="F293" s="15" t="n">
        <f aca="false">IF(E292&lt;=0.005,0,E292*Compare!$B$4/12)</f>
        <v>0</v>
      </c>
      <c r="G293" s="15" t="n">
        <f aca="false">IF(E292&lt;=0.005,0,MIN(E292+F293,Compare!$B$9))</f>
        <v>0</v>
      </c>
      <c r="H293" s="15" t="n">
        <f aca="false">MAX(0,H292+I293-J293)</f>
        <v>0</v>
      </c>
      <c r="I293" s="15" t="n">
        <f aca="false">IF(H292&lt;=0.005,0,H292*Compare!$B$4/12)</f>
        <v>0</v>
      </c>
      <c r="J293" s="15" t="n">
        <f aca="false">IF(H292&lt;=0.005,0,MIN(H292+I293,Compare!$B$9+Compare!$B$8))</f>
        <v>0</v>
      </c>
    </row>
    <row r="294" customFormat="false" ht="15" hidden="false" customHeight="false" outlineLevel="0" collapsed="false">
      <c r="A294" s="3" t="n">
        <v>291</v>
      </c>
      <c r="B294" s="15" t="n">
        <f aca="false">MAX(0,B293+C294-D294)</f>
        <v>0</v>
      </c>
      <c r="C294" s="15" t="n">
        <f aca="false">IF(B293&lt;=0.005,0,B293*Compare!$B$4/12)</f>
        <v>0</v>
      </c>
      <c r="D294" s="15" t="n">
        <f aca="false">IF(B293&lt;=0.005,0,MIN(B293+C294,MAX(Compare!$B$7,B293*Compare!$B$5+IF(Compare!$B$6="Yes",C294,0))))</f>
        <v>0</v>
      </c>
      <c r="E294" s="15" t="n">
        <f aca="false">MAX(0,E293+F294-G294)</f>
        <v>0</v>
      </c>
      <c r="F294" s="15" t="n">
        <f aca="false">IF(E293&lt;=0.005,0,E293*Compare!$B$4/12)</f>
        <v>0</v>
      </c>
      <c r="G294" s="15" t="n">
        <f aca="false">IF(E293&lt;=0.005,0,MIN(E293+F294,Compare!$B$9))</f>
        <v>0</v>
      </c>
      <c r="H294" s="15" t="n">
        <f aca="false">MAX(0,H293+I294-J294)</f>
        <v>0</v>
      </c>
      <c r="I294" s="15" t="n">
        <f aca="false">IF(H293&lt;=0.005,0,H293*Compare!$B$4/12)</f>
        <v>0</v>
      </c>
      <c r="J294" s="15" t="n">
        <f aca="false">IF(H293&lt;=0.005,0,MIN(H293+I294,Compare!$B$9+Compare!$B$8))</f>
        <v>0</v>
      </c>
    </row>
    <row r="295" customFormat="false" ht="15" hidden="false" customHeight="false" outlineLevel="0" collapsed="false">
      <c r="A295" s="3" t="n">
        <v>292</v>
      </c>
      <c r="B295" s="15" t="n">
        <f aca="false">MAX(0,B294+C295-D295)</f>
        <v>0</v>
      </c>
      <c r="C295" s="15" t="n">
        <f aca="false">IF(B294&lt;=0.005,0,B294*Compare!$B$4/12)</f>
        <v>0</v>
      </c>
      <c r="D295" s="15" t="n">
        <f aca="false">IF(B294&lt;=0.005,0,MIN(B294+C295,MAX(Compare!$B$7,B294*Compare!$B$5+IF(Compare!$B$6="Yes",C295,0))))</f>
        <v>0</v>
      </c>
      <c r="E295" s="15" t="n">
        <f aca="false">MAX(0,E294+F295-G295)</f>
        <v>0</v>
      </c>
      <c r="F295" s="15" t="n">
        <f aca="false">IF(E294&lt;=0.005,0,E294*Compare!$B$4/12)</f>
        <v>0</v>
      </c>
      <c r="G295" s="15" t="n">
        <f aca="false">IF(E294&lt;=0.005,0,MIN(E294+F295,Compare!$B$9))</f>
        <v>0</v>
      </c>
      <c r="H295" s="15" t="n">
        <f aca="false">MAX(0,H294+I295-J295)</f>
        <v>0</v>
      </c>
      <c r="I295" s="15" t="n">
        <f aca="false">IF(H294&lt;=0.005,0,H294*Compare!$B$4/12)</f>
        <v>0</v>
      </c>
      <c r="J295" s="15" t="n">
        <f aca="false">IF(H294&lt;=0.005,0,MIN(H294+I295,Compare!$B$9+Compare!$B$8))</f>
        <v>0</v>
      </c>
    </row>
    <row r="296" customFormat="false" ht="15" hidden="false" customHeight="false" outlineLevel="0" collapsed="false">
      <c r="A296" s="3" t="n">
        <v>293</v>
      </c>
      <c r="B296" s="15" t="n">
        <f aca="false">MAX(0,B295+C296-D296)</f>
        <v>0</v>
      </c>
      <c r="C296" s="15" t="n">
        <f aca="false">IF(B295&lt;=0.005,0,B295*Compare!$B$4/12)</f>
        <v>0</v>
      </c>
      <c r="D296" s="15" t="n">
        <f aca="false">IF(B295&lt;=0.005,0,MIN(B295+C296,MAX(Compare!$B$7,B295*Compare!$B$5+IF(Compare!$B$6="Yes",C296,0))))</f>
        <v>0</v>
      </c>
      <c r="E296" s="15" t="n">
        <f aca="false">MAX(0,E295+F296-G296)</f>
        <v>0</v>
      </c>
      <c r="F296" s="15" t="n">
        <f aca="false">IF(E295&lt;=0.005,0,E295*Compare!$B$4/12)</f>
        <v>0</v>
      </c>
      <c r="G296" s="15" t="n">
        <f aca="false">IF(E295&lt;=0.005,0,MIN(E295+F296,Compare!$B$9))</f>
        <v>0</v>
      </c>
      <c r="H296" s="15" t="n">
        <f aca="false">MAX(0,H295+I296-J296)</f>
        <v>0</v>
      </c>
      <c r="I296" s="15" t="n">
        <f aca="false">IF(H295&lt;=0.005,0,H295*Compare!$B$4/12)</f>
        <v>0</v>
      </c>
      <c r="J296" s="15" t="n">
        <f aca="false">IF(H295&lt;=0.005,0,MIN(H295+I296,Compare!$B$9+Compare!$B$8))</f>
        <v>0</v>
      </c>
    </row>
    <row r="297" customFormat="false" ht="15" hidden="false" customHeight="false" outlineLevel="0" collapsed="false">
      <c r="A297" s="3" t="n">
        <v>294</v>
      </c>
      <c r="B297" s="15" t="n">
        <f aca="false">MAX(0,B296+C297-D297)</f>
        <v>0</v>
      </c>
      <c r="C297" s="15" t="n">
        <f aca="false">IF(B296&lt;=0.005,0,B296*Compare!$B$4/12)</f>
        <v>0</v>
      </c>
      <c r="D297" s="15" t="n">
        <f aca="false">IF(B296&lt;=0.005,0,MIN(B296+C297,MAX(Compare!$B$7,B296*Compare!$B$5+IF(Compare!$B$6="Yes",C297,0))))</f>
        <v>0</v>
      </c>
      <c r="E297" s="15" t="n">
        <f aca="false">MAX(0,E296+F297-G297)</f>
        <v>0</v>
      </c>
      <c r="F297" s="15" t="n">
        <f aca="false">IF(E296&lt;=0.005,0,E296*Compare!$B$4/12)</f>
        <v>0</v>
      </c>
      <c r="G297" s="15" t="n">
        <f aca="false">IF(E296&lt;=0.005,0,MIN(E296+F297,Compare!$B$9))</f>
        <v>0</v>
      </c>
      <c r="H297" s="15" t="n">
        <f aca="false">MAX(0,H296+I297-J297)</f>
        <v>0</v>
      </c>
      <c r="I297" s="15" t="n">
        <f aca="false">IF(H296&lt;=0.005,0,H296*Compare!$B$4/12)</f>
        <v>0</v>
      </c>
      <c r="J297" s="15" t="n">
        <f aca="false">IF(H296&lt;=0.005,0,MIN(H296+I297,Compare!$B$9+Compare!$B$8))</f>
        <v>0</v>
      </c>
    </row>
    <row r="298" customFormat="false" ht="15" hidden="false" customHeight="false" outlineLevel="0" collapsed="false">
      <c r="A298" s="3" t="n">
        <v>295</v>
      </c>
      <c r="B298" s="15" t="n">
        <f aca="false">MAX(0,B297+C298-D298)</f>
        <v>0</v>
      </c>
      <c r="C298" s="15" t="n">
        <f aca="false">IF(B297&lt;=0.005,0,B297*Compare!$B$4/12)</f>
        <v>0</v>
      </c>
      <c r="D298" s="15" t="n">
        <f aca="false">IF(B297&lt;=0.005,0,MIN(B297+C298,MAX(Compare!$B$7,B297*Compare!$B$5+IF(Compare!$B$6="Yes",C298,0))))</f>
        <v>0</v>
      </c>
      <c r="E298" s="15" t="n">
        <f aca="false">MAX(0,E297+F298-G298)</f>
        <v>0</v>
      </c>
      <c r="F298" s="15" t="n">
        <f aca="false">IF(E297&lt;=0.005,0,E297*Compare!$B$4/12)</f>
        <v>0</v>
      </c>
      <c r="G298" s="15" t="n">
        <f aca="false">IF(E297&lt;=0.005,0,MIN(E297+F298,Compare!$B$9))</f>
        <v>0</v>
      </c>
      <c r="H298" s="15" t="n">
        <f aca="false">MAX(0,H297+I298-J298)</f>
        <v>0</v>
      </c>
      <c r="I298" s="15" t="n">
        <f aca="false">IF(H297&lt;=0.005,0,H297*Compare!$B$4/12)</f>
        <v>0</v>
      </c>
      <c r="J298" s="15" t="n">
        <f aca="false">IF(H297&lt;=0.005,0,MIN(H297+I298,Compare!$B$9+Compare!$B$8))</f>
        <v>0</v>
      </c>
    </row>
    <row r="299" customFormat="false" ht="15" hidden="false" customHeight="false" outlineLevel="0" collapsed="false">
      <c r="A299" s="3" t="n">
        <v>296</v>
      </c>
      <c r="B299" s="15" t="n">
        <f aca="false">MAX(0,B298+C299-D299)</f>
        <v>0</v>
      </c>
      <c r="C299" s="15" t="n">
        <f aca="false">IF(B298&lt;=0.005,0,B298*Compare!$B$4/12)</f>
        <v>0</v>
      </c>
      <c r="D299" s="15" t="n">
        <f aca="false">IF(B298&lt;=0.005,0,MIN(B298+C299,MAX(Compare!$B$7,B298*Compare!$B$5+IF(Compare!$B$6="Yes",C299,0))))</f>
        <v>0</v>
      </c>
      <c r="E299" s="15" t="n">
        <f aca="false">MAX(0,E298+F299-G299)</f>
        <v>0</v>
      </c>
      <c r="F299" s="15" t="n">
        <f aca="false">IF(E298&lt;=0.005,0,E298*Compare!$B$4/12)</f>
        <v>0</v>
      </c>
      <c r="G299" s="15" t="n">
        <f aca="false">IF(E298&lt;=0.005,0,MIN(E298+F299,Compare!$B$9))</f>
        <v>0</v>
      </c>
      <c r="H299" s="15" t="n">
        <f aca="false">MAX(0,H298+I299-J299)</f>
        <v>0</v>
      </c>
      <c r="I299" s="15" t="n">
        <f aca="false">IF(H298&lt;=0.005,0,H298*Compare!$B$4/12)</f>
        <v>0</v>
      </c>
      <c r="J299" s="15" t="n">
        <f aca="false">IF(H298&lt;=0.005,0,MIN(H298+I299,Compare!$B$9+Compare!$B$8))</f>
        <v>0</v>
      </c>
    </row>
    <row r="300" customFormat="false" ht="15" hidden="false" customHeight="false" outlineLevel="0" collapsed="false">
      <c r="A300" s="3" t="n">
        <v>297</v>
      </c>
      <c r="B300" s="15" t="n">
        <f aca="false">MAX(0,B299+C300-D300)</f>
        <v>0</v>
      </c>
      <c r="C300" s="15" t="n">
        <f aca="false">IF(B299&lt;=0.005,0,B299*Compare!$B$4/12)</f>
        <v>0</v>
      </c>
      <c r="D300" s="15" t="n">
        <f aca="false">IF(B299&lt;=0.005,0,MIN(B299+C300,MAX(Compare!$B$7,B299*Compare!$B$5+IF(Compare!$B$6="Yes",C300,0))))</f>
        <v>0</v>
      </c>
      <c r="E300" s="15" t="n">
        <f aca="false">MAX(0,E299+F300-G300)</f>
        <v>0</v>
      </c>
      <c r="F300" s="15" t="n">
        <f aca="false">IF(E299&lt;=0.005,0,E299*Compare!$B$4/12)</f>
        <v>0</v>
      </c>
      <c r="G300" s="15" t="n">
        <f aca="false">IF(E299&lt;=0.005,0,MIN(E299+F300,Compare!$B$9))</f>
        <v>0</v>
      </c>
      <c r="H300" s="15" t="n">
        <f aca="false">MAX(0,H299+I300-J300)</f>
        <v>0</v>
      </c>
      <c r="I300" s="15" t="n">
        <f aca="false">IF(H299&lt;=0.005,0,H299*Compare!$B$4/12)</f>
        <v>0</v>
      </c>
      <c r="J300" s="15" t="n">
        <f aca="false">IF(H299&lt;=0.005,0,MIN(H299+I300,Compare!$B$9+Compare!$B$8))</f>
        <v>0</v>
      </c>
    </row>
    <row r="301" customFormat="false" ht="15" hidden="false" customHeight="false" outlineLevel="0" collapsed="false">
      <c r="A301" s="3" t="n">
        <v>298</v>
      </c>
      <c r="B301" s="15" t="n">
        <f aca="false">MAX(0,B300+C301-D301)</f>
        <v>0</v>
      </c>
      <c r="C301" s="15" t="n">
        <f aca="false">IF(B300&lt;=0.005,0,B300*Compare!$B$4/12)</f>
        <v>0</v>
      </c>
      <c r="D301" s="15" t="n">
        <f aca="false">IF(B300&lt;=0.005,0,MIN(B300+C301,MAX(Compare!$B$7,B300*Compare!$B$5+IF(Compare!$B$6="Yes",C301,0))))</f>
        <v>0</v>
      </c>
      <c r="E301" s="15" t="n">
        <f aca="false">MAX(0,E300+F301-G301)</f>
        <v>0</v>
      </c>
      <c r="F301" s="15" t="n">
        <f aca="false">IF(E300&lt;=0.005,0,E300*Compare!$B$4/12)</f>
        <v>0</v>
      </c>
      <c r="G301" s="15" t="n">
        <f aca="false">IF(E300&lt;=0.005,0,MIN(E300+F301,Compare!$B$9))</f>
        <v>0</v>
      </c>
      <c r="H301" s="15" t="n">
        <f aca="false">MAX(0,H300+I301-J301)</f>
        <v>0</v>
      </c>
      <c r="I301" s="15" t="n">
        <f aca="false">IF(H300&lt;=0.005,0,H300*Compare!$B$4/12)</f>
        <v>0</v>
      </c>
      <c r="J301" s="15" t="n">
        <f aca="false">IF(H300&lt;=0.005,0,MIN(H300+I301,Compare!$B$9+Compare!$B$8))</f>
        <v>0</v>
      </c>
    </row>
    <row r="302" customFormat="false" ht="15" hidden="false" customHeight="false" outlineLevel="0" collapsed="false">
      <c r="A302" s="3" t="n">
        <v>299</v>
      </c>
      <c r="B302" s="15" t="n">
        <f aca="false">MAX(0,B301+C302-D302)</f>
        <v>0</v>
      </c>
      <c r="C302" s="15" t="n">
        <f aca="false">IF(B301&lt;=0.005,0,B301*Compare!$B$4/12)</f>
        <v>0</v>
      </c>
      <c r="D302" s="15" t="n">
        <f aca="false">IF(B301&lt;=0.005,0,MIN(B301+C302,MAX(Compare!$B$7,B301*Compare!$B$5+IF(Compare!$B$6="Yes",C302,0))))</f>
        <v>0</v>
      </c>
      <c r="E302" s="15" t="n">
        <f aca="false">MAX(0,E301+F302-G302)</f>
        <v>0</v>
      </c>
      <c r="F302" s="15" t="n">
        <f aca="false">IF(E301&lt;=0.005,0,E301*Compare!$B$4/12)</f>
        <v>0</v>
      </c>
      <c r="G302" s="15" t="n">
        <f aca="false">IF(E301&lt;=0.005,0,MIN(E301+F302,Compare!$B$9))</f>
        <v>0</v>
      </c>
      <c r="H302" s="15" t="n">
        <f aca="false">MAX(0,H301+I302-J302)</f>
        <v>0</v>
      </c>
      <c r="I302" s="15" t="n">
        <f aca="false">IF(H301&lt;=0.005,0,H301*Compare!$B$4/12)</f>
        <v>0</v>
      </c>
      <c r="J302" s="15" t="n">
        <f aca="false">IF(H301&lt;=0.005,0,MIN(H301+I302,Compare!$B$9+Compare!$B$8))</f>
        <v>0</v>
      </c>
    </row>
    <row r="303" customFormat="false" ht="15" hidden="false" customHeight="false" outlineLevel="0" collapsed="false">
      <c r="A303" s="3" t="n">
        <v>300</v>
      </c>
      <c r="B303" s="15" t="n">
        <f aca="false">MAX(0,B302+C303-D303)</f>
        <v>0</v>
      </c>
      <c r="C303" s="15" t="n">
        <f aca="false">IF(B302&lt;=0.005,0,B302*Compare!$B$4/12)</f>
        <v>0</v>
      </c>
      <c r="D303" s="15" t="n">
        <f aca="false">IF(B302&lt;=0.005,0,MIN(B302+C303,MAX(Compare!$B$7,B302*Compare!$B$5+IF(Compare!$B$6="Yes",C303,0))))</f>
        <v>0</v>
      </c>
      <c r="E303" s="15" t="n">
        <f aca="false">MAX(0,E302+F303-G303)</f>
        <v>0</v>
      </c>
      <c r="F303" s="15" t="n">
        <f aca="false">IF(E302&lt;=0.005,0,E302*Compare!$B$4/12)</f>
        <v>0</v>
      </c>
      <c r="G303" s="15" t="n">
        <f aca="false">IF(E302&lt;=0.005,0,MIN(E302+F303,Compare!$B$9))</f>
        <v>0</v>
      </c>
      <c r="H303" s="15" t="n">
        <f aca="false">MAX(0,H302+I303-J303)</f>
        <v>0</v>
      </c>
      <c r="I303" s="15" t="n">
        <f aca="false">IF(H302&lt;=0.005,0,H302*Compare!$B$4/12)</f>
        <v>0</v>
      </c>
      <c r="J303" s="15" t="n">
        <f aca="false">IF(H302&lt;=0.005,0,MIN(H302+I303,Compare!$B$9+Compare!$B$8))</f>
        <v>0</v>
      </c>
    </row>
    <row r="304" customFormat="false" ht="15" hidden="false" customHeight="false" outlineLevel="0" collapsed="false">
      <c r="A304" s="3" t="n">
        <v>301</v>
      </c>
      <c r="B304" s="15" t="n">
        <f aca="false">MAX(0,B303+C304-D304)</f>
        <v>0</v>
      </c>
      <c r="C304" s="15" t="n">
        <f aca="false">IF(B303&lt;=0.005,0,B303*Compare!$B$4/12)</f>
        <v>0</v>
      </c>
      <c r="D304" s="15" t="n">
        <f aca="false">IF(B303&lt;=0.005,0,MIN(B303+C304,MAX(Compare!$B$7,B303*Compare!$B$5+IF(Compare!$B$6="Yes",C304,0))))</f>
        <v>0</v>
      </c>
      <c r="E304" s="15" t="n">
        <f aca="false">MAX(0,E303+F304-G304)</f>
        <v>0</v>
      </c>
      <c r="F304" s="15" t="n">
        <f aca="false">IF(E303&lt;=0.005,0,E303*Compare!$B$4/12)</f>
        <v>0</v>
      </c>
      <c r="G304" s="15" t="n">
        <f aca="false">IF(E303&lt;=0.005,0,MIN(E303+F304,Compare!$B$9))</f>
        <v>0</v>
      </c>
      <c r="H304" s="15" t="n">
        <f aca="false">MAX(0,H303+I304-J304)</f>
        <v>0</v>
      </c>
      <c r="I304" s="15" t="n">
        <f aca="false">IF(H303&lt;=0.005,0,H303*Compare!$B$4/12)</f>
        <v>0</v>
      </c>
      <c r="J304" s="15" t="n">
        <f aca="false">IF(H303&lt;=0.005,0,MIN(H303+I304,Compare!$B$9+Compare!$B$8))</f>
        <v>0</v>
      </c>
    </row>
    <row r="305" customFormat="false" ht="15" hidden="false" customHeight="false" outlineLevel="0" collapsed="false">
      <c r="A305" s="3" t="n">
        <v>302</v>
      </c>
      <c r="B305" s="15" t="n">
        <f aca="false">MAX(0,B304+C305-D305)</f>
        <v>0</v>
      </c>
      <c r="C305" s="15" t="n">
        <f aca="false">IF(B304&lt;=0.005,0,B304*Compare!$B$4/12)</f>
        <v>0</v>
      </c>
      <c r="D305" s="15" t="n">
        <f aca="false">IF(B304&lt;=0.005,0,MIN(B304+C305,MAX(Compare!$B$7,B304*Compare!$B$5+IF(Compare!$B$6="Yes",C305,0))))</f>
        <v>0</v>
      </c>
      <c r="E305" s="15" t="n">
        <f aca="false">MAX(0,E304+F305-G305)</f>
        <v>0</v>
      </c>
      <c r="F305" s="15" t="n">
        <f aca="false">IF(E304&lt;=0.005,0,E304*Compare!$B$4/12)</f>
        <v>0</v>
      </c>
      <c r="G305" s="15" t="n">
        <f aca="false">IF(E304&lt;=0.005,0,MIN(E304+F305,Compare!$B$9))</f>
        <v>0</v>
      </c>
      <c r="H305" s="15" t="n">
        <f aca="false">MAX(0,H304+I305-J305)</f>
        <v>0</v>
      </c>
      <c r="I305" s="15" t="n">
        <f aca="false">IF(H304&lt;=0.005,0,H304*Compare!$B$4/12)</f>
        <v>0</v>
      </c>
      <c r="J305" s="15" t="n">
        <f aca="false">IF(H304&lt;=0.005,0,MIN(H304+I305,Compare!$B$9+Compare!$B$8))</f>
        <v>0</v>
      </c>
    </row>
    <row r="306" customFormat="false" ht="15" hidden="false" customHeight="false" outlineLevel="0" collapsed="false">
      <c r="A306" s="3" t="n">
        <v>303</v>
      </c>
      <c r="B306" s="15" t="n">
        <f aca="false">MAX(0,B305+C306-D306)</f>
        <v>0</v>
      </c>
      <c r="C306" s="15" t="n">
        <f aca="false">IF(B305&lt;=0.005,0,B305*Compare!$B$4/12)</f>
        <v>0</v>
      </c>
      <c r="D306" s="15" t="n">
        <f aca="false">IF(B305&lt;=0.005,0,MIN(B305+C306,MAX(Compare!$B$7,B305*Compare!$B$5+IF(Compare!$B$6="Yes",C306,0))))</f>
        <v>0</v>
      </c>
      <c r="E306" s="15" t="n">
        <f aca="false">MAX(0,E305+F306-G306)</f>
        <v>0</v>
      </c>
      <c r="F306" s="15" t="n">
        <f aca="false">IF(E305&lt;=0.005,0,E305*Compare!$B$4/12)</f>
        <v>0</v>
      </c>
      <c r="G306" s="15" t="n">
        <f aca="false">IF(E305&lt;=0.005,0,MIN(E305+F306,Compare!$B$9))</f>
        <v>0</v>
      </c>
      <c r="H306" s="15" t="n">
        <f aca="false">MAX(0,H305+I306-J306)</f>
        <v>0</v>
      </c>
      <c r="I306" s="15" t="n">
        <f aca="false">IF(H305&lt;=0.005,0,H305*Compare!$B$4/12)</f>
        <v>0</v>
      </c>
      <c r="J306" s="15" t="n">
        <f aca="false">IF(H305&lt;=0.005,0,MIN(H305+I306,Compare!$B$9+Compare!$B$8))</f>
        <v>0</v>
      </c>
    </row>
    <row r="307" customFormat="false" ht="15" hidden="false" customHeight="false" outlineLevel="0" collapsed="false">
      <c r="A307" s="3" t="n">
        <v>304</v>
      </c>
      <c r="B307" s="15" t="n">
        <f aca="false">MAX(0,B306+C307-D307)</f>
        <v>0</v>
      </c>
      <c r="C307" s="15" t="n">
        <f aca="false">IF(B306&lt;=0.005,0,B306*Compare!$B$4/12)</f>
        <v>0</v>
      </c>
      <c r="D307" s="15" t="n">
        <f aca="false">IF(B306&lt;=0.005,0,MIN(B306+C307,MAX(Compare!$B$7,B306*Compare!$B$5+IF(Compare!$B$6="Yes",C307,0))))</f>
        <v>0</v>
      </c>
      <c r="E307" s="15" t="n">
        <f aca="false">MAX(0,E306+F307-G307)</f>
        <v>0</v>
      </c>
      <c r="F307" s="15" t="n">
        <f aca="false">IF(E306&lt;=0.005,0,E306*Compare!$B$4/12)</f>
        <v>0</v>
      </c>
      <c r="G307" s="15" t="n">
        <f aca="false">IF(E306&lt;=0.005,0,MIN(E306+F307,Compare!$B$9))</f>
        <v>0</v>
      </c>
      <c r="H307" s="15" t="n">
        <f aca="false">MAX(0,H306+I307-J307)</f>
        <v>0</v>
      </c>
      <c r="I307" s="15" t="n">
        <f aca="false">IF(H306&lt;=0.005,0,H306*Compare!$B$4/12)</f>
        <v>0</v>
      </c>
      <c r="J307" s="15" t="n">
        <f aca="false">IF(H306&lt;=0.005,0,MIN(H306+I307,Compare!$B$9+Compare!$B$8))</f>
        <v>0</v>
      </c>
    </row>
    <row r="308" customFormat="false" ht="15" hidden="false" customHeight="false" outlineLevel="0" collapsed="false">
      <c r="A308" s="3" t="n">
        <v>305</v>
      </c>
      <c r="B308" s="15" t="n">
        <f aca="false">MAX(0,B307+C308-D308)</f>
        <v>0</v>
      </c>
      <c r="C308" s="15" t="n">
        <f aca="false">IF(B307&lt;=0.005,0,B307*Compare!$B$4/12)</f>
        <v>0</v>
      </c>
      <c r="D308" s="15" t="n">
        <f aca="false">IF(B307&lt;=0.005,0,MIN(B307+C308,MAX(Compare!$B$7,B307*Compare!$B$5+IF(Compare!$B$6="Yes",C308,0))))</f>
        <v>0</v>
      </c>
      <c r="E308" s="15" t="n">
        <f aca="false">MAX(0,E307+F308-G308)</f>
        <v>0</v>
      </c>
      <c r="F308" s="15" t="n">
        <f aca="false">IF(E307&lt;=0.005,0,E307*Compare!$B$4/12)</f>
        <v>0</v>
      </c>
      <c r="G308" s="15" t="n">
        <f aca="false">IF(E307&lt;=0.005,0,MIN(E307+F308,Compare!$B$9))</f>
        <v>0</v>
      </c>
      <c r="H308" s="15" t="n">
        <f aca="false">MAX(0,H307+I308-J308)</f>
        <v>0</v>
      </c>
      <c r="I308" s="15" t="n">
        <f aca="false">IF(H307&lt;=0.005,0,H307*Compare!$B$4/12)</f>
        <v>0</v>
      </c>
      <c r="J308" s="15" t="n">
        <f aca="false">IF(H307&lt;=0.005,0,MIN(H307+I308,Compare!$B$9+Compare!$B$8))</f>
        <v>0</v>
      </c>
    </row>
    <row r="309" customFormat="false" ht="15" hidden="false" customHeight="false" outlineLevel="0" collapsed="false">
      <c r="A309" s="3" t="n">
        <v>306</v>
      </c>
      <c r="B309" s="15" t="n">
        <f aca="false">MAX(0,B308+C309-D309)</f>
        <v>0</v>
      </c>
      <c r="C309" s="15" t="n">
        <f aca="false">IF(B308&lt;=0.005,0,B308*Compare!$B$4/12)</f>
        <v>0</v>
      </c>
      <c r="D309" s="15" t="n">
        <f aca="false">IF(B308&lt;=0.005,0,MIN(B308+C309,MAX(Compare!$B$7,B308*Compare!$B$5+IF(Compare!$B$6="Yes",C309,0))))</f>
        <v>0</v>
      </c>
      <c r="E309" s="15" t="n">
        <f aca="false">MAX(0,E308+F309-G309)</f>
        <v>0</v>
      </c>
      <c r="F309" s="15" t="n">
        <f aca="false">IF(E308&lt;=0.005,0,E308*Compare!$B$4/12)</f>
        <v>0</v>
      </c>
      <c r="G309" s="15" t="n">
        <f aca="false">IF(E308&lt;=0.005,0,MIN(E308+F309,Compare!$B$9))</f>
        <v>0</v>
      </c>
      <c r="H309" s="15" t="n">
        <f aca="false">MAX(0,H308+I309-J309)</f>
        <v>0</v>
      </c>
      <c r="I309" s="15" t="n">
        <f aca="false">IF(H308&lt;=0.005,0,H308*Compare!$B$4/12)</f>
        <v>0</v>
      </c>
      <c r="J309" s="15" t="n">
        <f aca="false">IF(H308&lt;=0.005,0,MIN(H308+I309,Compare!$B$9+Compare!$B$8))</f>
        <v>0</v>
      </c>
    </row>
    <row r="310" customFormat="false" ht="15" hidden="false" customHeight="false" outlineLevel="0" collapsed="false">
      <c r="A310" s="3" t="n">
        <v>307</v>
      </c>
      <c r="B310" s="15" t="n">
        <f aca="false">MAX(0,B309+C310-D310)</f>
        <v>0</v>
      </c>
      <c r="C310" s="15" t="n">
        <f aca="false">IF(B309&lt;=0.005,0,B309*Compare!$B$4/12)</f>
        <v>0</v>
      </c>
      <c r="D310" s="15" t="n">
        <f aca="false">IF(B309&lt;=0.005,0,MIN(B309+C310,MAX(Compare!$B$7,B309*Compare!$B$5+IF(Compare!$B$6="Yes",C310,0))))</f>
        <v>0</v>
      </c>
      <c r="E310" s="15" t="n">
        <f aca="false">MAX(0,E309+F310-G310)</f>
        <v>0</v>
      </c>
      <c r="F310" s="15" t="n">
        <f aca="false">IF(E309&lt;=0.005,0,E309*Compare!$B$4/12)</f>
        <v>0</v>
      </c>
      <c r="G310" s="15" t="n">
        <f aca="false">IF(E309&lt;=0.005,0,MIN(E309+F310,Compare!$B$9))</f>
        <v>0</v>
      </c>
      <c r="H310" s="15" t="n">
        <f aca="false">MAX(0,H309+I310-J310)</f>
        <v>0</v>
      </c>
      <c r="I310" s="15" t="n">
        <f aca="false">IF(H309&lt;=0.005,0,H309*Compare!$B$4/12)</f>
        <v>0</v>
      </c>
      <c r="J310" s="15" t="n">
        <f aca="false">IF(H309&lt;=0.005,0,MIN(H309+I310,Compare!$B$9+Compare!$B$8))</f>
        <v>0</v>
      </c>
    </row>
    <row r="311" customFormat="false" ht="15" hidden="false" customHeight="false" outlineLevel="0" collapsed="false">
      <c r="A311" s="3" t="n">
        <v>308</v>
      </c>
      <c r="B311" s="15" t="n">
        <f aca="false">MAX(0,B310+C311-D311)</f>
        <v>0</v>
      </c>
      <c r="C311" s="15" t="n">
        <f aca="false">IF(B310&lt;=0.005,0,B310*Compare!$B$4/12)</f>
        <v>0</v>
      </c>
      <c r="D311" s="15" t="n">
        <f aca="false">IF(B310&lt;=0.005,0,MIN(B310+C311,MAX(Compare!$B$7,B310*Compare!$B$5+IF(Compare!$B$6="Yes",C311,0))))</f>
        <v>0</v>
      </c>
      <c r="E311" s="15" t="n">
        <f aca="false">MAX(0,E310+F311-G311)</f>
        <v>0</v>
      </c>
      <c r="F311" s="15" t="n">
        <f aca="false">IF(E310&lt;=0.005,0,E310*Compare!$B$4/12)</f>
        <v>0</v>
      </c>
      <c r="G311" s="15" t="n">
        <f aca="false">IF(E310&lt;=0.005,0,MIN(E310+F311,Compare!$B$9))</f>
        <v>0</v>
      </c>
      <c r="H311" s="15" t="n">
        <f aca="false">MAX(0,H310+I311-J311)</f>
        <v>0</v>
      </c>
      <c r="I311" s="15" t="n">
        <f aca="false">IF(H310&lt;=0.005,0,H310*Compare!$B$4/12)</f>
        <v>0</v>
      </c>
      <c r="J311" s="15" t="n">
        <f aca="false">IF(H310&lt;=0.005,0,MIN(H310+I311,Compare!$B$9+Compare!$B$8))</f>
        <v>0</v>
      </c>
    </row>
    <row r="312" customFormat="false" ht="15" hidden="false" customHeight="false" outlineLevel="0" collapsed="false">
      <c r="A312" s="3" t="n">
        <v>309</v>
      </c>
      <c r="B312" s="15" t="n">
        <f aca="false">MAX(0,B311+C312-D312)</f>
        <v>0</v>
      </c>
      <c r="C312" s="15" t="n">
        <f aca="false">IF(B311&lt;=0.005,0,B311*Compare!$B$4/12)</f>
        <v>0</v>
      </c>
      <c r="D312" s="15" t="n">
        <f aca="false">IF(B311&lt;=0.005,0,MIN(B311+C312,MAX(Compare!$B$7,B311*Compare!$B$5+IF(Compare!$B$6="Yes",C312,0))))</f>
        <v>0</v>
      </c>
      <c r="E312" s="15" t="n">
        <f aca="false">MAX(0,E311+F312-G312)</f>
        <v>0</v>
      </c>
      <c r="F312" s="15" t="n">
        <f aca="false">IF(E311&lt;=0.005,0,E311*Compare!$B$4/12)</f>
        <v>0</v>
      </c>
      <c r="G312" s="15" t="n">
        <f aca="false">IF(E311&lt;=0.005,0,MIN(E311+F312,Compare!$B$9))</f>
        <v>0</v>
      </c>
      <c r="H312" s="15" t="n">
        <f aca="false">MAX(0,H311+I312-J312)</f>
        <v>0</v>
      </c>
      <c r="I312" s="15" t="n">
        <f aca="false">IF(H311&lt;=0.005,0,H311*Compare!$B$4/12)</f>
        <v>0</v>
      </c>
      <c r="J312" s="15" t="n">
        <f aca="false">IF(H311&lt;=0.005,0,MIN(H311+I312,Compare!$B$9+Compare!$B$8))</f>
        <v>0</v>
      </c>
    </row>
    <row r="313" customFormat="false" ht="15" hidden="false" customHeight="false" outlineLevel="0" collapsed="false">
      <c r="A313" s="3" t="n">
        <v>310</v>
      </c>
      <c r="B313" s="15" t="n">
        <f aca="false">MAX(0,B312+C313-D313)</f>
        <v>0</v>
      </c>
      <c r="C313" s="15" t="n">
        <f aca="false">IF(B312&lt;=0.005,0,B312*Compare!$B$4/12)</f>
        <v>0</v>
      </c>
      <c r="D313" s="15" t="n">
        <f aca="false">IF(B312&lt;=0.005,0,MIN(B312+C313,MAX(Compare!$B$7,B312*Compare!$B$5+IF(Compare!$B$6="Yes",C313,0))))</f>
        <v>0</v>
      </c>
      <c r="E313" s="15" t="n">
        <f aca="false">MAX(0,E312+F313-G313)</f>
        <v>0</v>
      </c>
      <c r="F313" s="15" t="n">
        <f aca="false">IF(E312&lt;=0.005,0,E312*Compare!$B$4/12)</f>
        <v>0</v>
      </c>
      <c r="G313" s="15" t="n">
        <f aca="false">IF(E312&lt;=0.005,0,MIN(E312+F313,Compare!$B$9))</f>
        <v>0</v>
      </c>
      <c r="H313" s="15" t="n">
        <f aca="false">MAX(0,H312+I313-J313)</f>
        <v>0</v>
      </c>
      <c r="I313" s="15" t="n">
        <f aca="false">IF(H312&lt;=0.005,0,H312*Compare!$B$4/12)</f>
        <v>0</v>
      </c>
      <c r="J313" s="15" t="n">
        <f aca="false">IF(H312&lt;=0.005,0,MIN(H312+I313,Compare!$B$9+Compare!$B$8))</f>
        <v>0</v>
      </c>
    </row>
    <row r="314" customFormat="false" ht="15" hidden="false" customHeight="false" outlineLevel="0" collapsed="false">
      <c r="A314" s="3" t="n">
        <v>311</v>
      </c>
      <c r="B314" s="15" t="n">
        <f aca="false">MAX(0,B313+C314-D314)</f>
        <v>0</v>
      </c>
      <c r="C314" s="15" t="n">
        <f aca="false">IF(B313&lt;=0.005,0,B313*Compare!$B$4/12)</f>
        <v>0</v>
      </c>
      <c r="D314" s="15" t="n">
        <f aca="false">IF(B313&lt;=0.005,0,MIN(B313+C314,MAX(Compare!$B$7,B313*Compare!$B$5+IF(Compare!$B$6="Yes",C314,0))))</f>
        <v>0</v>
      </c>
      <c r="E314" s="15" t="n">
        <f aca="false">MAX(0,E313+F314-G314)</f>
        <v>0</v>
      </c>
      <c r="F314" s="15" t="n">
        <f aca="false">IF(E313&lt;=0.005,0,E313*Compare!$B$4/12)</f>
        <v>0</v>
      </c>
      <c r="G314" s="15" t="n">
        <f aca="false">IF(E313&lt;=0.005,0,MIN(E313+F314,Compare!$B$9))</f>
        <v>0</v>
      </c>
      <c r="H314" s="15" t="n">
        <f aca="false">MAX(0,H313+I314-J314)</f>
        <v>0</v>
      </c>
      <c r="I314" s="15" t="n">
        <f aca="false">IF(H313&lt;=0.005,0,H313*Compare!$B$4/12)</f>
        <v>0</v>
      </c>
      <c r="J314" s="15" t="n">
        <f aca="false">IF(H313&lt;=0.005,0,MIN(H313+I314,Compare!$B$9+Compare!$B$8))</f>
        <v>0</v>
      </c>
    </row>
    <row r="315" customFormat="false" ht="15" hidden="false" customHeight="false" outlineLevel="0" collapsed="false">
      <c r="A315" s="3" t="n">
        <v>312</v>
      </c>
      <c r="B315" s="15" t="n">
        <f aca="false">MAX(0,B314+C315-D315)</f>
        <v>0</v>
      </c>
      <c r="C315" s="15" t="n">
        <f aca="false">IF(B314&lt;=0.005,0,B314*Compare!$B$4/12)</f>
        <v>0</v>
      </c>
      <c r="D315" s="15" t="n">
        <f aca="false">IF(B314&lt;=0.005,0,MIN(B314+C315,MAX(Compare!$B$7,B314*Compare!$B$5+IF(Compare!$B$6="Yes",C315,0))))</f>
        <v>0</v>
      </c>
      <c r="E315" s="15" t="n">
        <f aca="false">MAX(0,E314+F315-G315)</f>
        <v>0</v>
      </c>
      <c r="F315" s="15" t="n">
        <f aca="false">IF(E314&lt;=0.005,0,E314*Compare!$B$4/12)</f>
        <v>0</v>
      </c>
      <c r="G315" s="15" t="n">
        <f aca="false">IF(E314&lt;=0.005,0,MIN(E314+F315,Compare!$B$9))</f>
        <v>0</v>
      </c>
      <c r="H315" s="15" t="n">
        <f aca="false">MAX(0,H314+I315-J315)</f>
        <v>0</v>
      </c>
      <c r="I315" s="15" t="n">
        <f aca="false">IF(H314&lt;=0.005,0,H314*Compare!$B$4/12)</f>
        <v>0</v>
      </c>
      <c r="J315" s="15" t="n">
        <f aca="false">IF(H314&lt;=0.005,0,MIN(H314+I315,Compare!$B$9+Compare!$B$8))</f>
        <v>0</v>
      </c>
    </row>
    <row r="316" customFormat="false" ht="15" hidden="false" customHeight="false" outlineLevel="0" collapsed="false">
      <c r="A316" s="3" t="n">
        <v>313</v>
      </c>
      <c r="B316" s="15" t="n">
        <f aca="false">MAX(0,B315+C316-D316)</f>
        <v>0</v>
      </c>
      <c r="C316" s="15" t="n">
        <f aca="false">IF(B315&lt;=0.005,0,B315*Compare!$B$4/12)</f>
        <v>0</v>
      </c>
      <c r="D316" s="15" t="n">
        <f aca="false">IF(B315&lt;=0.005,0,MIN(B315+C316,MAX(Compare!$B$7,B315*Compare!$B$5+IF(Compare!$B$6="Yes",C316,0))))</f>
        <v>0</v>
      </c>
      <c r="E316" s="15" t="n">
        <f aca="false">MAX(0,E315+F316-G316)</f>
        <v>0</v>
      </c>
      <c r="F316" s="15" t="n">
        <f aca="false">IF(E315&lt;=0.005,0,E315*Compare!$B$4/12)</f>
        <v>0</v>
      </c>
      <c r="G316" s="15" t="n">
        <f aca="false">IF(E315&lt;=0.005,0,MIN(E315+F316,Compare!$B$9))</f>
        <v>0</v>
      </c>
      <c r="H316" s="15" t="n">
        <f aca="false">MAX(0,H315+I316-J316)</f>
        <v>0</v>
      </c>
      <c r="I316" s="15" t="n">
        <f aca="false">IF(H315&lt;=0.005,0,H315*Compare!$B$4/12)</f>
        <v>0</v>
      </c>
      <c r="J316" s="15" t="n">
        <f aca="false">IF(H315&lt;=0.005,0,MIN(H315+I316,Compare!$B$9+Compare!$B$8))</f>
        <v>0</v>
      </c>
    </row>
    <row r="317" customFormat="false" ht="15" hidden="false" customHeight="false" outlineLevel="0" collapsed="false">
      <c r="A317" s="3" t="n">
        <v>314</v>
      </c>
      <c r="B317" s="15" t="n">
        <f aca="false">MAX(0,B316+C317-D317)</f>
        <v>0</v>
      </c>
      <c r="C317" s="15" t="n">
        <f aca="false">IF(B316&lt;=0.005,0,B316*Compare!$B$4/12)</f>
        <v>0</v>
      </c>
      <c r="D317" s="15" t="n">
        <f aca="false">IF(B316&lt;=0.005,0,MIN(B316+C317,MAX(Compare!$B$7,B316*Compare!$B$5+IF(Compare!$B$6="Yes",C317,0))))</f>
        <v>0</v>
      </c>
      <c r="E317" s="15" t="n">
        <f aca="false">MAX(0,E316+F317-G317)</f>
        <v>0</v>
      </c>
      <c r="F317" s="15" t="n">
        <f aca="false">IF(E316&lt;=0.005,0,E316*Compare!$B$4/12)</f>
        <v>0</v>
      </c>
      <c r="G317" s="15" t="n">
        <f aca="false">IF(E316&lt;=0.005,0,MIN(E316+F317,Compare!$B$9))</f>
        <v>0</v>
      </c>
      <c r="H317" s="15" t="n">
        <f aca="false">MAX(0,H316+I317-J317)</f>
        <v>0</v>
      </c>
      <c r="I317" s="15" t="n">
        <f aca="false">IF(H316&lt;=0.005,0,H316*Compare!$B$4/12)</f>
        <v>0</v>
      </c>
      <c r="J317" s="15" t="n">
        <f aca="false">IF(H316&lt;=0.005,0,MIN(H316+I317,Compare!$B$9+Compare!$B$8))</f>
        <v>0</v>
      </c>
    </row>
    <row r="318" customFormat="false" ht="15" hidden="false" customHeight="false" outlineLevel="0" collapsed="false">
      <c r="A318" s="3" t="n">
        <v>315</v>
      </c>
      <c r="B318" s="15" t="n">
        <f aca="false">MAX(0,B317+C318-D318)</f>
        <v>0</v>
      </c>
      <c r="C318" s="15" t="n">
        <f aca="false">IF(B317&lt;=0.005,0,B317*Compare!$B$4/12)</f>
        <v>0</v>
      </c>
      <c r="D318" s="15" t="n">
        <f aca="false">IF(B317&lt;=0.005,0,MIN(B317+C318,MAX(Compare!$B$7,B317*Compare!$B$5+IF(Compare!$B$6="Yes",C318,0))))</f>
        <v>0</v>
      </c>
      <c r="E318" s="15" t="n">
        <f aca="false">MAX(0,E317+F318-G318)</f>
        <v>0</v>
      </c>
      <c r="F318" s="15" t="n">
        <f aca="false">IF(E317&lt;=0.005,0,E317*Compare!$B$4/12)</f>
        <v>0</v>
      </c>
      <c r="G318" s="15" t="n">
        <f aca="false">IF(E317&lt;=0.005,0,MIN(E317+F318,Compare!$B$9))</f>
        <v>0</v>
      </c>
      <c r="H318" s="15" t="n">
        <f aca="false">MAX(0,H317+I318-J318)</f>
        <v>0</v>
      </c>
      <c r="I318" s="15" t="n">
        <f aca="false">IF(H317&lt;=0.005,0,H317*Compare!$B$4/12)</f>
        <v>0</v>
      </c>
      <c r="J318" s="15" t="n">
        <f aca="false">IF(H317&lt;=0.005,0,MIN(H317+I318,Compare!$B$9+Compare!$B$8))</f>
        <v>0</v>
      </c>
    </row>
    <row r="319" customFormat="false" ht="15" hidden="false" customHeight="false" outlineLevel="0" collapsed="false">
      <c r="A319" s="3" t="n">
        <v>316</v>
      </c>
      <c r="B319" s="15" t="n">
        <f aca="false">MAX(0,B318+C319-D319)</f>
        <v>0</v>
      </c>
      <c r="C319" s="15" t="n">
        <f aca="false">IF(B318&lt;=0.005,0,B318*Compare!$B$4/12)</f>
        <v>0</v>
      </c>
      <c r="D319" s="15" t="n">
        <f aca="false">IF(B318&lt;=0.005,0,MIN(B318+C319,MAX(Compare!$B$7,B318*Compare!$B$5+IF(Compare!$B$6="Yes",C319,0))))</f>
        <v>0</v>
      </c>
      <c r="E319" s="15" t="n">
        <f aca="false">MAX(0,E318+F319-G319)</f>
        <v>0</v>
      </c>
      <c r="F319" s="15" t="n">
        <f aca="false">IF(E318&lt;=0.005,0,E318*Compare!$B$4/12)</f>
        <v>0</v>
      </c>
      <c r="G319" s="15" t="n">
        <f aca="false">IF(E318&lt;=0.005,0,MIN(E318+F319,Compare!$B$9))</f>
        <v>0</v>
      </c>
      <c r="H319" s="15" t="n">
        <f aca="false">MAX(0,H318+I319-J319)</f>
        <v>0</v>
      </c>
      <c r="I319" s="15" t="n">
        <f aca="false">IF(H318&lt;=0.005,0,H318*Compare!$B$4/12)</f>
        <v>0</v>
      </c>
      <c r="J319" s="15" t="n">
        <f aca="false">IF(H318&lt;=0.005,0,MIN(H318+I319,Compare!$B$9+Compare!$B$8))</f>
        <v>0</v>
      </c>
    </row>
    <row r="320" customFormat="false" ht="15" hidden="false" customHeight="false" outlineLevel="0" collapsed="false">
      <c r="A320" s="3" t="n">
        <v>317</v>
      </c>
      <c r="B320" s="15" t="n">
        <f aca="false">MAX(0,B319+C320-D320)</f>
        <v>0</v>
      </c>
      <c r="C320" s="15" t="n">
        <f aca="false">IF(B319&lt;=0.005,0,B319*Compare!$B$4/12)</f>
        <v>0</v>
      </c>
      <c r="D320" s="15" t="n">
        <f aca="false">IF(B319&lt;=0.005,0,MIN(B319+C320,MAX(Compare!$B$7,B319*Compare!$B$5+IF(Compare!$B$6="Yes",C320,0))))</f>
        <v>0</v>
      </c>
      <c r="E320" s="15" t="n">
        <f aca="false">MAX(0,E319+F320-G320)</f>
        <v>0</v>
      </c>
      <c r="F320" s="15" t="n">
        <f aca="false">IF(E319&lt;=0.005,0,E319*Compare!$B$4/12)</f>
        <v>0</v>
      </c>
      <c r="G320" s="15" t="n">
        <f aca="false">IF(E319&lt;=0.005,0,MIN(E319+F320,Compare!$B$9))</f>
        <v>0</v>
      </c>
      <c r="H320" s="15" t="n">
        <f aca="false">MAX(0,H319+I320-J320)</f>
        <v>0</v>
      </c>
      <c r="I320" s="15" t="n">
        <f aca="false">IF(H319&lt;=0.005,0,H319*Compare!$B$4/12)</f>
        <v>0</v>
      </c>
      <c r="J320" s="15" t="n">
        <f aca="false">IF(H319&lt;=0.005,0,MIN(H319+I320,Compare!$B$9+Compare!$B$8))</f>
        <v>0</v>
      </c>
    </row>
    <row r="321" customFormat="false" ht="15" hidden="false" customHeight="false" outlineLevel="0" collapsed="false">
      <c r="A321" s="3" t="n">
        <v>318</v>
      </c>
      <c r="B321" s="15" t="n">
        <f aca="false">MAX(0,B320+C321-D321)</f>
        <v>0</v>
      </c>
      <c r="C321" s="15" t="n">
        <f aca="false">IF(B320&lt;=0.005,0,B320*Compare!$B$4/12)</f>
        <v>0</v>
      </c>
      <c r="D321" s="15" t="n">
        <f aca="false">IF(B320&lt;=0.005,0,MIN(B320+C321,MAX(Compare!$B$7,B320*Compare!$B$5+IF(Compare!$B$6="Yes",C321,0))))</f>
        <v>0</v>
      </c>
      <c r="E321" s="15" t="n">
        <f aca="false">MAX(0,E320+F321-G321)</f>
        <v>0</v>
      </c>
      <c r="F321" s="15" t="n">
        <f aca="false">IF(E320&lt;=0.005,0,E320*Compare!$B$4/12)</f>
        <v>0</v>
      </c>
      <c r="G321" s="15" t="n">
        <f aca="false">IF(E320&lt;=0.005,0,MIN(E320+F321,Compare!$B$9))</f>
        <v>0</v>
      </c>
      <c r="H321" s="15" t="n">
        <f aca="false">MAX(0,H320+I321-J321)</f>
        <v>0</v>
      </c>
      <c r="I321" s="15" t="n">
        <f aca="false">IF(H320&lt;=0.005,0,H320*Compare!$B$4/12)</f>
        <v>0</v>
      </c>
      <c r="J321" s="15" t="n">
        <f aca="false">IF(H320&lt;=0.005,0,MIN(H320+I321,Compare!$B$9+Compare!$B$8))</f>
        <v>0</v>
      </c>
    </row>
    <row r="322" customFormat="false" ht="15" hidden="false" customHeight="false" outlineLevel="0" collapsed="false">
      <c r="A322" s="3" t="n">
        <v>319</v>
      </c>
      <c r="B322" s="15" t="n">
        <f aca="false">MAX(0,B321+C322-D322)</f>
        <v>0</v>
      </c>
      <c r="C322" s="15" t="n">
        <f aca="false">IF(B321&lt;=0.005,0,B321*Compare!$B$4/12)</f>
        <v>0</v>
      </c>
      <c r="D322" s="15" t="n">
        <f aca="false">IF(B321&lt;=0.005,0,MIN(B321+C322,MAX(Compare!$B$7,B321*Compare!$B$5+IF(Compare!$B$6="Yes",C322,0))))</f>
        <v>0</v>
      </c>
      <c r="E322" s="15" t="n">
        <f aca="false">MAX(0,E321+F322-G322)</f>
        <v>0</v>
      </c>
      <c r="F322" s="15" t="n">
        <f aca="false">IF(E321&lt;=0.005,0,E321*Compare!$B$4/12)</f>
        <v>0</v>
      </c>
      <c r="G322" s="15" t="n">
        <f aca="false">IF(E321&lt;=0.005,0,MIN(E321+F322,Compare!$B$9))</f>
        <v>0</v>
      </c>
      <c r="H322" s="15" t="n">
        <f aca="false">MAX(0,H321+I322-J322)</f>
        <v>0</v>
      </c>
      <c r="I322" s="15" t="n">
        <f aca="false">IF(H321&lt;=0.005,0,H321*Compare!$B$4/12)</f>
        <v>0</v>
      </c>
      <c r="J322" s="15" t="n">
        <f aca="false">IF(H321&lt;=0.005,0,MIN(H321+I322,Compare!$B$9+Compare!$B$8))</f>
        <v>0</v>
      </c>
    </row>
    <row r="323" customFormat="false" ht="15" hidden="false" customHeight="false" outlineLevel="0" collapsed="false">
      <c r="A323" s="3" t="n">
        <v>320</v>
      </c>
      <c r="B323" s="15" t="n">
        <f aca="false">MAX(0,B322+C323-D323)</f>
        <v>0</v>
      </c>
      <c r="C323" s="15" t="n">
        <f aca="false">IF(B322&lt;=0.005,0,B322*Compare!$B$4/12)</f>
        <v>0</v>
      </c>
      <c r="D323" s="15" t="n">
        <f aca="false">IF(B322&lt;=0.005,0,MIN(B322+C323,MAX(Compare!$B$7,B322*Compare!$B$5+IF(Compare!$B$6="Yes",C323,0))))</f>
        <v>0</v>
      </c>
      <c r="E323" s="15" t="n">
        <f aca="false">MAX(0,E322+F323-G323)</f>
        <v>0</v>
      </c>
      <c r="F323" s="15" t="n">
        <f aca="false">IF(E322&lt;=0.005,0,E322*Compare!$B$4/12)</f>
        <v>0</v>
      </c>
      <c r="G323" s="15" t="n">
        <f aca="false">IF(E322&lt;=0.005,0,MIN(E322+F323,Compare!$B$9))</f>
        <v>0</v>
      </c>
      <c r="H323" s="15" t="n">
        <f aca="false">MAX(0,H322+I323-J323)</f>
        <v>0</v>
      </c>
      <c r="I323" s="15" t="n">
        <f aca="false">IF(H322&lt;=0.005,0,H322*Compare!$B$4/12)</f>
        <v>0</v>
      </c>
      <c r="J323" s="15" t="n">
        <f aca="false">IF(H322&lt;=0.005,0,MIN(H322+I323,Compare!$B$9+Compare!$B$8))</f>
        <v>0</v>
      </c>
    </row>
    <row r="324" customFormat="false" ht="15" hidden="false" customHeight="false" outlineLevel="0" collapsed="false">
      <c r="A324" s="3" t="n">
        <v>321</v>
      </c>
      <c r="B324" s="15" t="n">
        <f aca="false">MAX(0,B323+C324-D324)</f>
        <v>0</v>
      </c>
      <c r="C324" s="15" t="n">
        <f aca="false">IF(B323&lt;=0.005,0,B323*Compare!$B$4/12)</f>
        <v>0</v>
      </c>
      <c r="D324" s="15" t="n">
        <f aca="false">IF(B323&lt;=0.005,0,MIN(B323+C324,MAX(Compare!$B$7,B323*Compare!$B$5+IF(Compare!$B$6="Yes",C324,0))))</f>
        <v>0</v>
      </c>
      <c r="E324" s="15" t="n">
        <f aca="false">MAX(0,E323+F324-G324)</f>
        <v>0</v>
      </c>
      <c r="F324" s="15" t="n">
        <f aca="false">IF(E323&lt;=0.005,0,E323*Compare!$B$4/12)</f>
        <v>0</v>
      </c>
      <c r="G324" s="15" t="n">
        <f aca="false">IF(E323&lt;=0.005,0,MIN(E323+F324,Compare!$B$9))</f>
        <v>0</v>
      </c>
      <c r="H324" s="15" t="n">
        <f aca="false">MAX(0,H323+I324-J324)</f>
        <v>0</v>
      </c>
      <c r="I324" s="15" t="n">
        <f aca="false">IF(H323&lt;=0.005,0,H323*Compare!$B$4/12)</f>
        <v>0</v>
      </c>
      <c r="J324" s="15" t="n">
        <f aca="false">IF(H323&lt;=0.005,0,MIN(H323+I324,Compare!$B$9+Compare!$B$8))</f>
        <v>0</v>
      </c>
    </row>
    <row r="325" customFormat="false" ht="15" hidden="false" customHeight="false" outlineLevel="0" collapsed="false">
      <c r="A325" s="3" t="n">
        <v>322</v>
      </c>
      <c r="B325" s="15" t="n">
        <f aca="false">MAX(0,B324+C325-D325)</f>
        <v>0</v>
      </c>
      <c r="C325" s="15" t="n">
        <f aca="false">IF(B324&lt;=0.005,0,B324*Compare!$B$4/12)</f>
        <v>0</v>
      </c>
      <c r="D325" s="15" t="n">
        <f aca="false">IF(B324&lt;=0.005,0,MIN(B324+C325,MAX(Compare!$B$7,B324*Compare!$B$5+IF(Compare!$B$6="Yes",C325,0))))</f>
        <v>0</v>
      </c>
      <c r="E325" s="15" t="n">
        <f aca="false">MAX(0,E324+F325-G325)</f>
        <v>0</v>
      </c>
      <c r="F325" s="15" t="n">
        <f aca="false">IF(E324&lt;=0.005,0,E324*Compare!$B$4/12)</f>
        <v>0</v>
      </c>
      <c r="G325" s="15" t="n">
        <f aca="false">IF(E324&lt;=0.005,0,MIN(E324+F325,Compare!$B$9))</f>
        <v>0</v>
      </c>
      <c r="H325" s="15" t="n">
        <f aca="false">MAX(0,H324+I325-J325)</f>
        <v>0</v>
      </c>
      <c r="I325" s="15" t="n">
        <f aca="false">IF(H324&lt;=0.005,0,H324*Compare!$B$4/12)</f>
        <v>0</v>
      </c>
      <c r="J325" s="15" t="n">
        <f aca="false">IF(H324&lt;=0.005,0,MIN(H324+I325,Compare!$B$9+Compare!$B$8))</f>
        <v>0</v>
      </c>
    </row>
    <row r="326" customFormat="false" ht="15" hidden="false" customHeight="false" outlineLevel="0" collapsed="false">
      <c r="A326" s="3" t="n">
        <v>323</v>
      </c>
      <c r="B326" s="15" t="n">
        <f aca="false">MAX(0,B325+C326-D326)</f>
        <v>0</v>
      </c>
      <c r="C326" s="15" t="n">
        <f aca="false">IF(B325&lt;=0.005,0,B325*Compare!$B$4/12)</f>
        <v>0</v>
      </c>
      <c r="D326" s="15" t="n">
        <f aca="false">IF(B325&lt;=0.005,0,MIN(B325+C326,MAX(Compare!$B$7,B325*Compare!$B$5+IF(Compare!$B$6="Yes",C326,0))))</f>
        <v>0</v>
      </c>
      <c r="E326" s="15" t="n">
        <f aca="false">MAX(0,E325+F326-G326)</f>
        <v>0</v>
      </c>
      <c r="F326" s="15" t="n">
        <f aca="false">IF(E325&lt;=0.005,0,E325*Compare!$B$4/12)</f>
        <v>0</v>
      </c>
      <c r="G326" s="15" t="n">
        <f aca="false">IF(E325&lt;=0.005,0,MIN(E325+F326,Compare!$B$9))</f>
        <v>0</v>
      </c>
      <c r="H326" s="15" t="n">
        <f aca="false">MAX(0,H325+I326-J326)</f>
        <v>0</v>
      </c>
      <c r="I326" s="15" t="n">
        <f aca="false">IF(H325&lt;=0.005,0,H325*Compare!$B$4/12)</f>
        <v>0</v>
      </c>
      <c r="J326" s="15" t="n">
        <f aca="false">IF(H325&lt;=0.005,0,MIN(H325+I326,Compare!$B$9+Compare!$B$8))</f>
        <v>0</v>
      </c>
    </row>
    <row r="327" customFormat="false" ht="15" hidden="false" customHeight="false" outlineLevel="0" collapsed="false">
      <c r="A327" s="3" t="n">
        <v>324</v>
      </c>
      <c r="B327" s="15" t="n">
        <f aca="false">MAX(0,B326+C327-D327)</f>
        <v>0</v>
      </c>
      <c r="C327" s="15" t="n">
        <f aca="false">IF(B326&lt;=0.005,0,B326*Compare!$B$4/12)</f>
        <v>0</v>
      </c>
      <c r="D327" s="15" t="n">
        <f aca="false">IF(B326&lt;=0.005,0,MIN(B326+C327,MAX(Compare!$B$7,B326*Compare!$B$5+IF(Compare!$B$6="Yes",C327,0))))</f>
        <v>0</v>
      </c>
      <c r="E327" s="15" t="n">
        <f aca="false">MAX(0,E326+F327-G327)</f>
        <v>0</v>
      </c>
      <c r="F327" s="15" t="n">
        <f aca="false">IF(E326&lt;=0.005,0,E326*Compare!$B$4/12)</f>
        <v>0</v>
      </c>
      <c r="G327" s="15" t="n">
        <f aca="false">IF(E326&lt;=0.005,0,MIN(E326+F327,Compare!$B$9))</f>
        <v>0</v>
      </c>
      <c r="H327" s="15" t="n">
        <f aca="false">MAX(0,H326+I327-J327)</f>
        <v>0</v>
      </c>
      <c r="I327" s="15" t="n">
        <f aca="false">IF(H326&lt;=0.005,0,H326*Compare!$B$4/12)</f>
        <v>0</v>
      </c>
      <c r="J327" s="15" t="n">
        <f aca="false">IF(H326&lt;=0.005,0,MIN(H326+I327,Compare!$B$9+Compare!$B$8))</f>
        <v>0</v>
      </c>
    </row>
    <row r="328" customFormat="false" ht="15" hidden="false" customHeight="false" outlineLevel="0" collapsed="false">
      <c r="A328" s="3" t="n">
        <v>325</v>
      </c>
      <c r="B328" s="15" t="n">
        <f aca="false">MAX(0,B327+C328-D328)</f>
        <v>0</v>
      </c>
      <c r="C328" s="15" t="n">
        <f aca="false">IF(B327&lt;=0.005,0,B327*Compare!$B$4/12)</f>
        <v>0</v>
      </c>
      <c r="D328" s="15" t="n">
        <f aca="false">IF(B327&lt;=0.005,0,MIN(B327+C328,MAX(Compare!$B$7,B327*Compare!$B$5+IF(Compare!$B$6="Yes",C328,0))))</f>
        <v>0</v>
      </c>
      <c r="E328" s="15" t="n">
        <f aca="false">MAX(0,E327+F328-G328)</f>
        <v>0</v>
      </c>
      <c r="F328" s="15" t="n">
        <f aca="false">IF(E327&lt;=0.005,0,E327*Compare!$B$4/12)</f>
        <v>0</v>
      </c>
      <c r="G328" s="15" t="n">
        <f aca="false">IF(E327&lt;=0.005,0,MIN(E327+F328,Compare!$B$9))</f>
        <v>0</v>
      </c>
      <c r="H328" s="15" t="n">
        <f aca="false">MAX(0,H327+I328-J328)</f>
        <v>0</v>
      </c>
      <c r="I328" s="15" t="n">
        <f aca="false">IF(H327&lt;=0.005,0,H327*Compare!$B$4/12)</f>
        <v>0</v>
      </c>
      <c r="J328" s="15" t="n">
        <f aca="false">IF(H327&lt;=0.005,0,MIN(H327+I328,Compare!$B$9+Compare!$B$8))</f>
        <v>0</v>
      </c>
    </row>
    <row r="329" customFormat="false" ht="15" hidden="false" customHeight="false" outlineLevel="0" collapsed="false">
      <c r="A329" s="3" t="n">
        <v>326</v>
      </c>
      <c r="B329" s="15" t="n">
        <f aca="false">MAX(0,B328+C329-D329)</f>
        <v>0</v>
      </c>
      <c r="C329" s="15" t="n">
        <f aca="false">IF(B328&lt;=0.005,0,B328*Compare!$B$4/12)</f>
        <v>0</v>
      </c>
      <c r="D329" s="15" t="n">
        <f aca="false">IF(B328&lt;=0.005,0,MIN(B328+C329,MAX(Compare!$B$7,B328*Compare!$B$5+IF(Compare!$B$6="Yes",C329,0))))</f>
        <v>0</v>
      </c>
      <c r="E329" s="15" t="n">
        <f aca="false">MAX(0,E328+F329-G329)</f>
        <v>0</v>
      </c>
      <c r="F329" s="15" t="n">
        <f aca="false">IF(E328&lt;=0.005,0,E328*Compare!$B$4/12)</f>
        <v>0</v>
      </c>
      <c r="G329" s="15" t="n">
        <f aca="false">IF(E328&lt;=0.005,0,MIN(E328+F329,Compare!$B$9))</f>
        <v>0</v>
      </c>
      <c r="H329" s="15" t="n">
        <f aca="false">MAX(0,H328+I329-J329)</f>
        <v>0</v>
      </c>
      <c r="I329" s="15" t="n">
        <f aca="false">IF(H328&lt;=0.005,0,H328*Compare!$B$4/12)</f>
        <v>0</v>
      </c>
      <c r="J329" s="15" t="n">
        <f aca="false">IF(H328&lt;=0.005,0,MIN(H328+I329,Compare!$B$9+Compare!$B$8))</f>
        <v>0</v>
      </c>
    </row>
    <row r="330" customFormat="false" ht="15" hidden="false" customHeight="false" outlineLevel="0" collapsed="false">
      <c r="A330" s="3" t="n">
        <v>327</v>
      </c>
      <c r="B330" s="15" t="n">
        <f aca="false">MAX(0,B329+C330-D330)</f>
        <v>0</v>
      </c>
      <c r="C330" s="15" t="n">
        <f aca="false">IF(B329&lt;=0.005,0,B329*Compare!$B$4/12)</f>
        <v>0</v>
      </c>
      <c r="D330" s="15" t="n">
        <f aca="false">IF(B329&lt;=0.005,0,MIN(B329+C330,MAX(Compare!$B$7,B329*Compare!$B$5+IF(Compare!$B$6="Yes",C330,0))))</f>
        <v>0</v>
      </c>
      <c r="E330" s="15" t="n">
        <f aca="false">MAX(0,E329+F330-G330)</f>
        <v>0</v>
      </c>
      <c r="F330" s="15" t="n">
        <f aca="false">IF(E329&lt;=0.005,0,E329*Compare!$B$4/12)</f>
        <v>0</v>
      </c>
      <c r="G330" s="15" t="n">
        <f aca="false">IF(E329&lt;=0.005,0,MIN(E329+F330,Compare!$B$9))</f>
        <v>0</v>
      </c>
      <c r="H330" s="15" t="n">
        <f aca="false">MAX(0,H329+I330-J330)</f>
        <v>0</v>
      </c>
      <c r="I330" s="15" t="n">
        <f aca="false">IF(H329&lt;=0.005,0,H329*Compare!$B$4/12)</f>
        <v>0</v>
      </c>
      <c r="J330" s="15" t="n">
        <f aca="false">IF(H329&lt;=0.005,0,MIN(H329+I330,Compare!$B$9+Compare!$B$8))</f>
        <v>0</v>
      </c>
    </row>
    <row r="331" customFormat="false" ht="15" hidden="false" customHeight="false" outlineLevel="0" collapsed="false">
      <c r="A331" s="3" t="n">
        <v>328</v>
      </c>
      <c r="B331" s="15" t="n">
        <f aca="false">MAX(0,B330+C331-D331)</f>
        <v>0</v>
      </c>
      <c r="C331" s="15" t="n">
        <f aca="false">IF(B330&lt;=0.005,0,B330*Compare!$B$4/12)</f>
        <v>0</v>
      </c>
      <c r="D331" s="15" t="n">
        <f aca="false">IF(B330&lt;=0.005,0,MIN(B330+C331,MAX(Compare!$B$7,B330*Compare!$B$5+IF(Compare!$B$6="Yes",C331,0))))</f>
        <v>0</v>
      </c>
      <c r="E331" s="15" t="n">
        <f aca="false">MAX(0,E330+F331-G331)</f>
        <v>0</v>
      </c>
      <c r="F331" s="15" t="n">
        <f aca="false">IF(E330&lt;=0.005,0,E330*Compare!$B$4/12)</f>
        <v>0</v>
      </c>
      <c r="G331" s="15" t="n">
        <f aca="false">IF(E330&lt;=0.005,0,MIN(E330+F331,Compare!$B$9))</f>
        <v>0</v>
      </c>
      <c r="H331" s="15" t="n">
        <f aca="false">MAX(0,H330+I331-J331)</f>
        <v>0</v>
      </c>
      <c r="I331" s="15" t="n">
        <f aca="false">IF(H330&lt;=0.005,0,H330*Compare!$B$4/12)</f>
        <v>0</v>
      </c>
      <c r="J331" s="15" t="n">
        <f aca="false">IF(H330&lt;=0.005,0,MIN(H330+I331,Compare!$B$9+Compare!$B$8))</f>
        <v>0</v>
      </c>
    </row>
    <row r="332" customFormat="false" ht="15" hidden="false" customHeight="false" outlineLevel="0" collapsed="false">
      <c r="A332" s="3" t="n">
        <v>329</v>
      </c>
      <c r="B332" s="15" t="n">
        <f aca="false">MAX(0,B331+C332-D332)</f>
        <v>0</v>
      </c>
      <c r="C332" s="15" t="n">
        <f aca="false">IF(B331&lt;=0.005,0,B331*Compare!$B$4/12)</f>
        <v>0</v>
      </c>
      <c r="D332" s="15" t="n">
        <f aca="false">IF(B331&lt;=0.005,0,MIN(B331+C332,MAX(Compare!$B$7,B331*Compare!$B$5+IF(Compare!$B$6="Yes",C332,0))))</f>
        <v>0</v>
      </c>
      <c r="E332" s="15" t="n">
        <f aca="false">MAX(0,E331+F332-G332)</f>
        <v>0</v>
      </c>
      <c r="F332" s="15" t="n">
        <f aca="false">IF(E331&lt;=0.005,0,E331*Compare!$B$4/12)</f>
        <v>0</v>
      </c>
      <c r="G332" s="15" t="n">
        <f aca="false">IF(E331&lt;=0.005,0,MIN(E331+F332,Compare!$B$9))</f>
        <v>0</v>
      </c>
      <c r="H332" s="15" t="n">
        <f aca="false">MAX(0,H331+I332-J332)</f>
        <v>0</v>
      </c>
      <c r="I332" s="15" t="n">
        <f aca="false">IF(H331&lt;=0.005,0,H331*Compare!$B$4/12)</f>
        <v>0</v>
      </c>
      <c r="J332" s="15" t="n">
        <f aca="false">IF(H331&lt;=0.005,0,MIN(H331+I332,Compare!$B$9+Compare!$B$8))</f>
        <v>0</v>
      </c>
    </row>
    <row r="333" customFormat="false" ht="15" hidden="false" customHeight="false" outlineLevel="0" collapsed="false">
      <c r="A333" s="3" t="n">
        <v>330</v>
      </c>
      <c r="B333" s="15" t="n">
        <f aca="false">MAX(0,B332+C333-D333)</f>
        <v>0</v>
      </c>
      <c r="C333" s="15" t="n">
        <f aca="false">IF(B332&lt;=0.005,0,B332*Compare!$B$4/12)</f>
        <v>0</v>
      </c>
      <c r="D333" s="15" t="n">
        <f aca="false">IF(B332&lt;=0.005,0,MIN(B332+C333,MAX(Compare!$B$7,B332*Compare!$B$5+IF(Compare!$B$6="Yes",C333,0))))</f>
        <v>0</v>
      </c>
      <c r="E333" s="15" t="n">
        <f aca="false">MAX(0,E332+F333-G333)</f>
        <v>0</v>
      </c>
      <c r="F333" s="15" t="n">
        <f aca="false">IF(E332&lt;=0.005,0,E332*Compare!$B$4/12)</f>
        <v>0</v>
      </c>
      <c r="G333" s="15" t="n">
        <f aca="false">IF(E332&lt;=0.005,0,MIN(E332+F333,Compare!$B$9))</f>
        <v>0</v>
      </c>
      <c r="H333" s="15" t="n">
        <f aca="false">MAX(0,H332+I333-J333)</f>
        <v>0</v>
      </c>
      <c r="I333" s="15" t="n">
        <f aca="false">IF(H332&lt;=0.005,0,H332*Compare!$B$4/12)</f>
        <v>0</v>
      </c>
      <c r="J333" s="15" t="n">
        <f aca="false">IF(H332&lt;=0.005,0,MIN(H332+I333,Compare!$B$9+Compare!$B$8))</f>
        <v>0</v>
      </c>
    </row>
    <row r="334" customFormat="false" ht="15" hidden="false" customHeight="false" outlineLevel="0" collapsed="false">
      <c r="A334" s="3" t="n">
        <v>331</v>
      </c>
      <c r="B334" s="15" t="n">
        <f aca="false">MAX(0,B333+C334-D334)</f>
        <v>0</v>
      </c>
      <c r="C334" s="15" t="n">
        <f aca="false">IF(B333&lt;=0.005,0,B333*Compare!$B$4/12)</f>
        <v>0</v>
      </c>
      <c r="D334" s="15" t="n">
        <f aca="false">IF(B333&lt;=0.005,0,MIN(B333+C334,MAX(Compare!$B$7,B333*Compare!$B$5+IF(Compare!$B$6="Yes",C334,0))))</f>
        <v>0</v>
      </c>
      <c r="E334" s="15" t="n">
        <f aca="false">MAX(0,E333+F334-G334)</f>
        <v>0</v>
      </c>
      <c r="F334" s="15" t="n">
        <f aca="false">IF(E333&lt;=0.005,0,E333*Compare!$B$4/12)</f>
        <v>0</v>
      </c>
      <c r="G334" s="15" t="n">
        <f aca="false">IF(E333&lt;=0.005,0,MIN(E333+F334,Compare!$B$9))</f>
        <v>0</v>
      </c>
      <c r="H334" s="15" t="n">
        <f aca="false">MAX(0,H333+I334-J334)</f>
        <v>0</v>
      </c>
      <c r="I334" s="15" t="n">
        <f aca="false">IF(H333&lt;=0.005,0,H333*Compare!$B$4/12)</f>
        <v>0</v>
      </c>
      <c r="J334" s="15" t="n">
        <f aca="false">IF(H333&lt;=0.005,0,MIN(H333+I334,Compare!$B$9+Compare!$B$8))</f>
        <v>0</v>
      </c>
    </row>
    <row r="335" customFormat="false" ht="15" hidden="false" customHeight="false" outlineLevel="0" collapsed="false">
      <c r="A335" s="3" t="n">
        <v>332</v>
      </c>
      <c r="B335" s="15" t="n">
        <f aca="false">MAX(0,B334+C335-D335)</f>
        <v>0</v>
      </c>
      <c r="C335" s="15" t="n">
        <f aca="false">IF(B334&lt;=0.005,0,B334*Compare!$B$4/12)</f>
        <v>0</v>
      </c>
      <c r="D335" s="15" t="n">
        <f aca="false">IF(B334&lt;=0.005,0,MIN(B334+C335,MAX(Compare!$B$7,B334*Compare!$B$5+IF(Compare!$B$6="Yes",C335,0))))</f>
        <v>0</v>
      </c>
      <c r="E335" s="15" t="n">
        <f aca="false">MAX(0,E334+F335-G335)</f>
        <v>0</v>
      </c>
      <c r="F335" s="15" t="n">
        <f aca="false">IF(E334&lt;=0.005,0,E334*Compare!$B$4/12)</f>
        <v>0</v>
      </c>
      <c r="G335" s="15" t="n">
        <f aca="false">IF(E334&lt;=0.005,0,MIN(E334+F335,Compare!$B$9))</f>
        <v>0</v>
      </c>
      <c r="H335" s="15" t="n">
        <f aca="false">MAX(0,H334+I335-J335)</f>
        <v>0</v>
      </c>
      <c r="I335" s="15" t="n">
        <f aca="false">IF(H334&lt;=0.005,0,H334*Compare!$B$4/12)</f>
        <v>0</v>
      </c>
      <c r="J335" s="15" t="n">
        <f aca="false">IF(H334&lt;=0.005,0,MIN(H334+I335,Compare!$B$9+Compare!$B$8))</f>
        <v>0</v>
      </c>
    </row>
    <row r="336" customFormat="false" ht="15" hidden="false" customHeight="false" outlineLevel="0" collapsed="false">
      <c r="A336" s="3" t="n">
        <v>333</v>
      </c>
      <c r="B336" s="15" t="n">
        <f aca="false">MAX(0,B335+C336-D336)</f>
        <v>0</v>
      </c>
      <c r="C336" s="15" t="n">
        <f aca="false">IF(B335&lt;=0.005,0,B335*Compare!$B$4/12)</f>
        <v>0</v>
      </c>
      <c r="D336" s="15" t="n">
        <f aca="false">IF(B335&lt;=0.005,0,MIN(B335+C336,MAX(Compare!$B$7,B335*Compare!$B$5+IF(Compare!$B$6="Yes",C336,0))))</f>
        <v>0</v>
      </c>
      <c r="E336" s="15" t="n">
        <f aca="false">MAX(0,E335+F336-G336)</f>
        <v>0</v>
      </c>
      <c r="F336" s="15" t="n">
        <f aca="false">IF(E335&lt;=0.005,0,E335*Compare!$B$4/12)</f>
        <v>0</v>
      </c>
      <c r="G336" s="15" t="n">
        <f aca="false">IF(E335&lt;=0.005,0,MIN(E335+F336,Compare!$B$9))</f>
        <v>0</v>
      </c>
      <c r="H336" s="15" t="n">
        <f aca="false">MAX(0,H335+I336-J336)</f>
        <v>0</v>
      </c>
      <c r="I336" s="15" t="n">
        <f aca="false">IF(H335&lt;=0.005,0,H335*Compare!$B$4/12)</f>
        <v>0</v>
      </c>
      <c r="J336" s="15" t="n">
        <f aca="false">IF(H335&lt;=0.005,0,MIN(H335+I336,Compare!$B$9+Compare!$B$8))</f>
        <v>0</v>
      </c>
    </row>
    <row r="337" customFormat="false" ht="15" hidden="false" customHeight="false" outlineLevel="0" collapsed="false">
      <c r="A337" s="3" t="n">
        <v>334</v>
      </c>
      <c r="B337" s="15" t="n">
        <f aca="false">MAX(0,B336+C337-D337)</f>
        <v>0</v>
      </c>
      <c r="C337" s="15" t="n">
        <f aca="false">IF(B336&lt;=0.005,0,B336*Compare!$B$4/12)</f>
        <v>0</v>
      </c>
      <c r="D337" s="15" t="n">
        <f aca="false">IF(B336&lt;=0.005,0,MIN(B336+C337,MAX(Compare!$B$7,B336*Compare!$B$5+IF(Compare!$B$6="Yes",C337,0))))</f>
        <v>0</v>
      </c>
      <c r="E337" s="15" t="n">
        <f aca="false">MAX(0,E336+F337-G337)</f>
        <v>0</v>
      </c>
      <c r="F337" s="15" t="n">
        <f aca="false">IF(E336&lt;=0.005,0,E336*Compare!$B$4/12)</f>
        <v>0</v>
      </c>
      <c r="G337" s="15" t="n">
        <f aca="false">IF(E336&lt;=0.005,0,MIN(E336+F337,Compare!$B$9))</f>
        <v>0</v>
      </c>
      <c r="H337" s="15" t="n">
        <f aca="false">MAX(0,H336+I337-J337)</f>
        <v>0</v>
      </c>
      <c r="I337" s="15" t="n">
        <f aca="false">IF(H336&lt;=0.005,0,H336*Compare!$B$4/12)</f>
        <v>0</v>
      </c>
      <c r="J337" s="15" t="n">
        <f aca="false">IF(H336&lt;=0.005,0,MIN(H336+I337,Compare!$B$9+Compare!$B$8))</f>
        <v>0</v>
      </c>
    </row>
    <row r="338" customFormat="false" ht="15" hidden="false" customHeight="false" outlineLevel="0" collapsed="false">
      <c r="A338" s="3" t="n">
        <v>335</v>
      </c>
      <c r="B338" s="15" t="n">
        <f aca="false">MAX(0,B337+C338-D338)</f>
        <v>0</v>
      </c>
      <c r="C338" s="15" t="n">
        <f aca="false">IF(B337&lt;=0.005,0,B337*Compare!$B$4/12)</f>
        <v>0</v>
      </c>
      <c r="D338" s="15" t="n">
        <f aca="false">IF(B337&lt;=0.005,0,MIN(B337+C338,MAX(Compare!$B$7,B337*Compare!$B$5+IF(Compare!$B$6="Yes",C338,0))))</f>
        <v>0</v>
      </c>
      <c r="E338" s="15" t="n">
        <f aca="false">MAX(0,E337+F338-G338)</f>
        <v>0</v>
      </c>
      <c r="F338" s="15" t="n">
        <f aca="false">IF(E337&lt;=0.005,0,E337*Compare!$B$4/12)</f>
        <v>0</v>
      </c>
      <c r="G338" s="15" t="n">
        <f aca="false">IF(E337&lt;=0.005,0,MIN(E337+F338,Compare!$B$9))</f>
        <v>0</v>
      </c>
      <c r="H338" s="15" t="n">
        <f aca="false">MAX(0,H337+I338-J338)</f>
        <v>0</v>
      </c>
      <c r="I338" s="15" t="n">
        <f aca="false">IF(H337&lt;=0.005,0,H337*Compare!$B$4/12)</f>
        <v>0</v>
      </c>
      <c r="J338" s="15" t="n">
        <f aca="false">IF(H337&lt;=0.005,0,MIN(H337+I338,Compare!$B$9+Compare!$B$8))</f>
        <v>0</v>
      </c>
    </row>
    <row r="339" customFormat="false" ht="15" hidden="false" customHeight="false" outlineLevel="0" collapsed="false">
      <c r="A339" s="3" t="n">
        <v>336</v>
      </c>
      <c r="B339" s="15" t="n">
        <f aca="false">MAX(0,B338+C339-D339)</f>
        <v>0</v>
      </c>
      <c r="C339" s="15" t="n">
        <f aca="false">IF(B338&lt;=0.005,0,B338*Compare!$B$4/12)</f>
        <v>0</v>
      </c>
      <c r="D339" s="15" t="n">
        <f aca="false">IF(B338&lt;=0.005,0,MIN(B338+C339,MAX(Compare!$B$7,B338*Compare!$B$5+IF(Compare!$B$6="Yes",C339,0))))</f>
        <v>0</v>
      </c>
      <c r="E339" s="15" t="n">
        <f aca="false">MAX(0,E338+F339-G339)</f>
        <v>0</v>
      </c>
      <c r="F339" s="15" t="n">
        <f aca="false">IF(E338&lt;=0.005,0,E338*Compare!$B$4/12)</f>
        <v>0</v>
      </c>
      <c r="G339" s="15" t="n">
        <f aca="false">IF(E338&lt;=0.005,0,MIN(E338+F339,Compare!$B$9))</f>
        <v>0</v>
      </c>
      <c r="H339" s="15" t="n">
        <f aca="false">MAX(0,H338+I339-J339)</f>
        <v>0</v>
      </c>
      <c r="I339" s="15" t="n">
        <f aca="false">IF(H338&lt;=0.005,0,H338*Compare!$B$4/12)</f>
        <v>0</v>
      </c>
      <c r="J339" s="15" t="n">
        <f aca="false">IF(H338&lt;=0.005,0,MIN(H338+I339,Compare!$B$9+Compare!$B$8))</f>
        <v>0</v>
      </c>
    </row>
    <row r="340" customFormat="false" ht="15" hidden="false" customHeight="false" outlineLevel="0" collapsed="false">
      <c r="A340" s="3" t="n">
        <v>337</v>
      </c>
      <c r="B340" s="15" t="n">
        <f aca="false">MAX(0,B339+C340-D340)</f>
        <v>0</v>
      </c>
      <c r="C340" s="15" t="n">
        <f aca="false">IF(B339&lt;=0.005,0,B339*Compare!$B$4/12)</f>
        <v>0</v>
      </c>
      <c r="D340" s="15" t="n">
        <f aca="false">IF(B339&lt;=0.005,0,MIN(B339+C340,MAX(Compare!$B$7,B339*Compare!$B$5+IF(Compare!$B$6="Yes",C340,0))))</f>
        <v>0</v>
      </c>
      <c r="E340" s="15" t="n">
        <f aca="false">MAX(0,E339+F340-G340)</f>
        <v>0</v>
      </c>
      <c r="F340" s="15" t="n">
        <f aca="false">IF(E339&lt;=0.005,0,E339*Compare!$B$4/12)</f>
        <v>0</v>
      </c>
      <c r="G340" s="15" t="n">
        <f aca="false">IF(E339&lt;=0.005,0,MIN(E339+F340,Compare!$B$9))</f>
        <v>0</v>
      </c>
      <c r="H340" s="15" t="n">
        <f aca="false">MAX(0,H339+I340-J340)</f>
        <v>0</v>
      </c>
      <c r="I340" s="15" t="n">
        <f aca="false">IF(H339&lt;=0.005,0,H339*Compare!$B$4/12)</f>
        <v>0</v>
      </c>
      <c r="J340" s="15" t="n">
        <f aca="false">IF(H339&lt;=0.005,0,MIN(H339+I340,Compare!$B$9+Compare!$B$8))</f>
        <v>0</v>
      </c>
    </row>
    <row r="341" customFormat="false" ht="15" hidden="false" customHeight="false" outlineLevel="0" collapsed="false">
      <c r="A341" s="3" t="n">
        <v>338</v>
      </c>
      <c r="B341" s="15" t="n">
        <f aca="false">MAX(0,B340+C341-D341)</f>
        <v>0</v>
      </c>
      <c r="C341" s="15" t="n">
        <f aca="false">IF(B340&lt;=0.005,0,B340*Compare!$B$4/12)</f>
        <v>0</v>
      </c>
      <c r="D341" s="15" t="n">
        <f aca="false">IF(B340&lt;=0.005,0,MIN(B340+C341,MAX(Compare!$B$7,B340*Compare!$B$5+IF(Compare!$B$6="Yes",C341,0))))</f>
        <v>0</v>
      </c>
      <c r="E341" s="15" t="n">
        <f aca="false">MAX(0,E340+F341-G341)</f>
        <v>0</v>
      </c>
      <c r="F341" s="15" t="n">
        <f aca="false">IF(E340&lt;=0.005,0,E340*Compare!$B$4/12)</f>
        <v>0</v>
      </c>
      <c r="G341" s="15" t="n">
        <f aca="false">IF(E340&lt;=0.005,0,MIN(E340+F341,Compare!$B$9))</f>
        <v>0</v>
      </c>
      <c r="H341" s="15" t="n">
        <f aca="false">MAX(0,H340+I341-J341)</f>
        <v>0</v>
      </c>
      <c r="I341" s="15" t="n">
        <f aca="false">IF(H340&lt;=0.005,0,H340*Compare!$B$4/12)</f>
        <v>0</v>
      </c>
      <c r="J341" s="15" t="n">
        <f aca="false">IF(H340&lt;=0.005,0,MIN(H340+I341,Compare!$B$9+Compare!$B$8))</f>
        <v>0</v>
      </c>
    </row>
    <row r="342" customFormat="false" ht="15" hidden="false" customHeight="false" outlineLevel="0" collapsed="false">
      <c r="A342" s="3" t="n">
        <v>339</v>
      </c>
      <c r="B342" s="15" t="n">
        <f aca="false">MAX(0,B341+C342-D342)</f>
        <v>0</v>
      </c>
      <c r="C342" s="15" t="n">
        <f aca="false">IF(B341&lt;=0.005,0,B341*Compare!$B$4/12)</f>
        <v>0</v>
      </c>
      <c r="D342" s="15" t="n">
        <f aca="false">IF(B341&lt;=0.005,0,MIN(B341+C342,MAX(Compare!$B$7,B341*Compare!$B$5+IF(Compare!$B$6="Yes",C342,0))))</f>
        <v>0</v>
      </c>
      <c r="E342" s="15" t="n">
        <f aca="false">MAX(0,E341+F342-G342)</f>
        <v>0</v>
      </c>
      <c r="F342" s="15" t="n">
        <f aca="false">IF(E341&lt;=0.005,0,E341*Compare!$B$4/12)</f>
        <v>0</v>
      </c>
      <c r="G342" s="15" t="n">
        <f aca="false">IF(E341&lt;=0.005,0,MIN(E341+F342,Compare!$B$9))</f>
        <v>0</v>
      </c>
      <c r="H342" s="15" t="n">
        <f aca="false">MAX(0,H341+I342-J342)</f>
        <v>0</v>
      </c>
      <c r="I342" s="15" t="n">
        <f aca="false">IF(H341&lt;=0.005,0,H341*Compare!$B$4/12)</f>
        <v>0</v>
      </c>
      <c r="J342" s="15" t="n">
        <f aca="false">IF(H341&lt;=0.005,0,MIN(H341+I342,Compare!$B$9+Compare!$B$8))</f>
        <v>0</v>
      </c>
    </row>
    <row r="343" customFormat="false" ht="15" hidden="false" customHeight="false" outlineLevel="0" collapsed="false">
      <c r="A343" s="3" t="n">
        <v>340</v>
      </c>
      <c r="B343" s="15" t="n">
        <f aca="false">MAX(0,B342+C343-D343)</f>
        <v>0</v>
      </c>
      <c r="C343" s="15" t="n">
        <f aca="false">IF(B342&lt;=0.005,0,B342*Compare!$B$4/12)</f>
        <v>0</v>
      </c>
      <c r="D343" s="15" t="n">
        <f aca="false">IF(B342&lt;=0.005,0,MIN(B342+C343,MAX(Compare!$B$7,B342*Compare!$B$5+IF(Compare!$B$6="Yes",C343,0))))</f>
        <v>0</v>
      </c>
      <c r="E343" s="15" t="n">
        <f aca="false">MAX(0,E342+F343-G343)</f>
        <v>0</v>
      </c>
      <c r="F343" s="15" t="n">
        <f aca="false">IF(E342&lt;=0.005,0,E342*Compare!$B$4/12)</f>
        <v>0</v>
      </c>
      <c r="G343" s="15" t="n">
        <f aca="false">IF(E342&lt;=0.005,0,MIN(E342+F343,Compare!$B$9))</f>
        <v>0</v>
      </c>
      <c r="H343" s="15" t="n">
        <f aca="false">MAX(0,H342+I343-J343)</f>
        <v>0</v>
      </c>
      <c r="I343" s="15" t="n">
        <f aca="false">IF(H342&lt;=0.005,0,H342*Compare!$B$4/12)</f>
        <v>0</v>
      </c>
      <c r="J343" s="15" t="n">
        <f aca="false">IF(H342&lt;=0.005,0,MIN(H342+I343,Compare!$B$9+Compare!$B$8))</f>
        <v>0</v>
      </c>
    </row>
    <row r="344" customFormat="false" ht="15" hidden="false" customHeight="false" outlineLevel="0" collapsed="false">
      <c r="A344" s="3" t="n">
        <v>341</v>
      </c>
      <c r="B344" s="15" t="n">
        <f aca="false">MAX(0,B343+C344-D344)</f>
        <v>0</v>
      </c>
      <c r="C344" s="15" t="n">
        <f aca="false">IF(B343&lt;=0.005,0,B343*Compare!$B$4/12)</f>
        <v>0</v>
      </c>
      <c r="D344" s="15" t="n">
        <f aca="false">IF(B343&lt;=0.005,0,MIN(B343+C344,MAX(Compare!$B$7,B343*Compare!$B$5+IF(Compare!$B$6="Yes",C344,0))))</f>
        <v>0</v>
      </c>
      <c r="E344" s="15" t="n">
        <f aca="false">MAX(0,E343+F344-G344)</f>
        <v>0</v>
      </c>
      <c r="F344" s="15" t="n">
        <f aca="false">IF(E343&lt;=0.005,0,E343*Compare!$B$4/12)</f>
        <v>0</v>
      </c>
      <c r="G344" s="15" t="n">
        <f aca="false">IF(E343&lt;=0.005,0,MIN(E343+F344,Compare!$B$9))</f>
        <v>0</v>
      </c>
      <c r="H344" s="15" t="n">
        <f aca="false">MAX(0,H343+I344-J344)</f>
        <v>0</v>
      </c>
      <c r="I344" s="15" t="n">
        <f aca="false">IF(H343&lt;=0.005,0,H343*Compare!$B$4/12)</f>
        <v>0</v>
      </c>
      <c r="J344" s="15" t="n">
        <f aca="false">IF(H343&lt;=0.005,0,MIN(H343+I344,Compare!$B$9+Compare!$B$8))</f>
        <v>0</v>
      </c>
    </row>
    <row r="345" customFormat="false" ht="15" hidden="false" customHeight="false" outlineLevel="0" collapsed="false">
      <c r="A345" s="3" t="n">
        <v>342</v>
      </c>
      <c r="B345" s="15" t="n">
        <f aca="false">MAX(0,B344+C345-D345)</f>
        <v>0</v>
      </c>
      <c r="C345" s="15" t="n">
        <f aca="false">IF(B344&lt;=0.005,0,B344*Compare!$B$4/12)</f>
        <v>0</v>
      </c>
      <c r="D345" s="15" t="n">
        <f aca="false">IF(B344&lt;=0.005,0,MIN(B344+C345,MAX(Compare!$B$7,B344*Compare!$B$5+IF(Compare!$B$6="Yes",C345,0))))</f>
        <v>0</v>
      </c>
      <c r="E345" s="15" t="n">
        <f aca="false">MAX(0,E344+F345-G345)</f>
        <v>0</v>
      </c>
      <c r="F345" s="15" t="n">
        <f aca="false">IF(E344&lt;=0.005,0,E344*Compare!$B$4/12)</f>
        <v>0</v>
      </c>
      <c r="G345" s="15" t="n">
        <f aca="false">IF(E344&lt;=0.005,0,MIN(E344+F345,Compare!$B$9))</f>
        <v>0</v>
      </c>
      <c r="H345" s="15" t="n">
        <f aca="false">MAX(0,H344+I345-J345)</f>
        <v>0</v>
      </c>
      <c r="I345" s="15" t="n">
        <f aca="false">IF(H344&lt;=0.005,0,H344*Compare!$B$4/12)</f>
        <v>0</v>
      </c>
      <c r="J345" s="15" t="n">
        <f aca="false">IF(H344&lt;=0.005,0,MIN(H344+I345,Compare!$B$9+Compare!$B$8))</f>
        <v>0</v>
      </c>
    </row>
    <row r="346" customFormat="false" ht="15" hidden="false" customHeight="false" outlineLevel="0" collapsed="false">
      <c r="A346" s="3" t="n">
        <v>343</v>
      </c>
      <c r="B346" s="15" t="n">
        <f aca="false">MAX(0,B345+C346-D346)</f>
        <v>0</v>
      </c>
      <c r="C346" s="15" t="n">
        <f aca="false">IF(B345&lt;=0.005,0,B345*Compare!$B$4/12)</f>
        <v>0</v>
      </c>
      <c r="D346" s="15" t="n">
        <f aca="false">IF(B345&lt;=0.005,0,MIN(B345+C346,MAX(Compare!$B$7,B345*Compare!$B$5+IF(Compare!$B$6="Yes",C346,0))))</f>
        <v>0</v>
      </c>
      <c r="E346" s="15" t="n">
        <f aca="false">MAX(0,E345+F346-G346)</f>
        <v>0</v>
      </c>
      <c r="F346" s="15" t="n">
        <f aca="false">IF(E345&lt;=0.005,0,E345*Compare!$B$4/12)</f>
        <v>0</v>
      </c>
      <c r="G346" s="15" t="n">
        <f aca="false">IF(E345&lt;=0.005,0,MIN(E345+F346,Compare!$B$9))</f>
        <v>0</v>
      </c>
      <c r="H346" s="15" t="n">
        <f aca="false">MAX(0,H345+I346-J346)</f>
        <v>0</v>
      </c>
      <c r="I346" s="15" t="n">
        <f aca="false">IF(H345&lt;=0.005,0,H345*Compare!$B$4/12)</f>
        <v>0</v>
      </c>
      <c r="J346" s="15" t="n">
        <f aca="false">IF(H345&lt;=0.005,0,MIN(H345+I346,Compare!$B$9+Compare!$B$8))</f>
        <v>0</v>
      </c>
    </row>
    <row r="347" customFormat="false" ht="15" hidden="false" customHeight="false" outlineLevel="0" collapsed="false">
      <c r="A347" s="3" t="n">
        <v>344</v>
      </c>
      <c r="B347" s="15" t="n">
        <f aca="false">MAX(0,B346+C347-D347)</f>
        <v>0</v>
      </c>
      <c r="C347" s="15" t="n">
        <f aca="false">IF(B346&lt;=0.005,0,B346*Compare!$B$4/12)</f>
        <v>0</v>
      </c>
      <c r="D347" s="15" t="n">
        <f aca="false">IF(B346&lt;=0.005,0,MIN(B346+C347,MAX(Compare!$B$7,B346*Compare!$B$5+IF(Compare!$B$6="Yes",C347,0))))</f>
        <v>0</v>
      </c>
      <c r="E347" s="15" t="n">
        <f aca="false">MAX(0,E346+F347-G347)</f>
        <v>0</v>
      </c>
      <c r="F347" s="15" t="n">
        <f aca="false">IF(E346&lt;=0.005,0,E346*Compare!$B$4/12)</f>
        <v>0</v>
      </c>
      <c r="G347" s="15" t="n">
        <f aca="false">IF(E346&lt;=0.005,0,MIN(E346+F347,Compare!$B$9))</f>
        <v>0</v>
      </c>
      <c r="H347" s="15" t="n">
        <f aca="false">MAX(0,H346+I347-J347)</f>
        <v>0</v>
      </c>
      <c r="I347" s="15" t="n">
        <f aca="false">IF(H346&lt;=0.005,0,H346*Compare!$B$4/12)</f>
        <v>0</v>
      </c>
      <c r="J347" s="15" t="n">
        <f aca="false">IF(H346&lt;=0.005,0,MIN(H346+I347,Compare!$B$9+Compare!$B$8))</f>
        <v>0</v>
      </c>
    </row>
    <row r="348" customFormat="false" ht="15" hidden="false" customHeight="false" outlineLevel="0" collapsed="false">
      <c r="A348" s="3" t="n">
        <v>345</v>
      </c>
      <c r="B348" s="15" t="n">
        <f aca="false">MAX(0,B347+C348-D348)</f>
        <v>0</v>
      </c>
      <c r="C348" s="15" t="n">
        <f aca="false">IF(B347&lt;=0.005,0,B347*Compare!$B$4/12)</f>
        <v>0</v>
      </c>
      <c r="D348" s="15" t="n">
        <f aca="false">IF(B347&lt;=0.005,0,MIN(B347+C348,MAX(Compare!$B$7,B347*Compare!$B$5+IF(Compare!$B$6="Yes",C348,0))))</f>
        <v>0</v>
      </c>
      <c r="E348" s="15" t="n">
        <f aca="false">MAX(0,E347+F348-G348)</f>
        <v>0</v>
      </c>
      <c r="F348" s="15" t="n">
        <f aca="false">IF(E347&lt;=0.005,0,E347*Compare!$B$4/12)</f>
        <v>0</v>
      </c>
      <c r="G348" s="15" t="n">
        <f aca="false">IF(E347&lt;=0.005,0,MIN(E347+F348,Compare!$B$9))</f>
        <v>0</v>
      </c>
      <c r="H348" s="15" t="n">
        <f aca="false">MAX(0,H347+I348-J348)</f>
        <v>0</v>
      </c>
      <c r="I348" s="15" t="n">
        <f aca="false">IF(H347&lt;=0.005,0,H347*Compare!$B$4/12)</f>
        <v>0</v>
      </c>
      <c r="J348" s="15" t="n">
        <f aca="false">IF(H347&lt;=0.005,0,MIN(H347+I348,Compare!$B$9+Compare!$B$8))</f>
        <v>0</v>
      </c>
    </row>
    <row r="349" customFormat="false" ht="15" hidden="false" customHeight="false" outlineLevel="0" collapsed="false">
      <c r="A349" s="3" t="n">
        <v>346</v>
      </c>
      <c r="B349" s="15" t="n">
        <f aca="false">MAX(0,B348+C349-D349)</f>
        <v>0</v>
      </c>
      <c r="C349" s="15" t="n">
        <f aca="false">IF(B348&lt;=0.005,0,B348*Compare!$B$4/12)</f>
        <v>0</v>
      </c>
      <c r="D349" s="15" t="n">
        <f aca="false">IF(B348&lt;=0.005,0,MIN(B348+C349,MAX(Compare!$B$7,B348*Compare!$B$5+IF(Compare!$B$6="Yes",C349,0))))</f>
        <v>0</v>
      </c>
      <c r="E349" s="15" t="n">
        <f aca="false">MAX(0,E348+F349-G349)</f>
        <v>0</v>
      </c>
      <c r="F349" s="15" t="n">
        <f aca="false">IF(E348&lt;=0.005,0,E348*Compare!$B$4/12)</f>
        <v>0</v>
      </c>
      <c r="G349" s="15" t="n">
        <f aca="false">IF(E348&lt;=0.005,0,MIN(E348+F349,Compare!$B$9))</f>
        <v>0</v>
      </c>
      <c r="H349" s="15" t="n">
        <f aca="false">MAX(0,H348+I349-J349)</f>
        <v>0</v>
      </c>
      <c r="I349" s="15" t="n">
        <f aca="false">IF(H348&lt;=0.005,0,H348*Compare!$B$4/12)</f>
        <v>0</v>
      </c>
      <c r="J349" s="15" t="n">
        <f aca="false">IF(H348&lt;=0.005,0,MIN(H348+I349,Compare!$B$9+Compare!$B$8))</f>
        <v>0</v>
      </c>
    </row>
    <row r="350" customFormat="false" ht="15" hidden="false" customHeight="false" outlineLevel="0" collapsed="false">
      <c r="A350" s="3" t="n">
        <v>347</v>
      </c>
      <c r="B350" s="15" t="n">
        <f aca="false">MAX(0,B349+C350-D350)</f>
        <v>0</v>
      </c>
      <c r="C350" s="15" t="n">
        <f aca="false">IF(B349&lt;=0.005,0,B349*Compare!$B$4/12)</f>
        <v>0</v>
      </c>
      <c r="D350" s="15" t="n">
        <f aca="false">IF(B349&lt;=0.005,0,MIN(B349+C350,MAX(Compare!$B$7,B349*Compare!$B$5+IF(Compare!$B$6="Yes",C350,0))))</f>
        <v>0</v>
      </c>
      <c r="E350" s="15" t="n">
        <f aca="false">MAX(0,E349+F350-G350)</f>
        <v>0</v>
      </c>
      <c r="F350" s="15" t="n">
        <f aca="false">IF(E349&lt;=0.005,0,E349*Compare!$B$4/12)</f>
        <v>0</v>
      </c>
      <c r="G350" s="15" t="n">
        <f aca="false">IF(E349&lt;=0.005,0,MIN(E349+F350,Compare!$B$9))</f>
        <v>0</v>
      </c>
      <c r="H350" s="15" t="n">
        <f aca="false">MAX(0,H349+I350-J350)</f>
        <v>0</v>
      </c>
      <c r="I350" s="15" t="n">
        <f aca="false">IF(H349&lt;=0.005,0,H349*Compare!$B$4/12)</f>
        <v>0</v>
      </c>
      <c r="J350" s="15" t="n">
        <f aca="false">IF(H349&lt;=0.005,0,MIN(H349+I350,Compare!$B$9+Compare!$B$8))</f>
        <v>0</v>
      </c>
    </row>
    <row r="351" customFormat="false" ht="15" hidden="false" customHeight="false" outlineLevel="0" collapsed="false">
      <c r="A351" s="3" t="n">
        <v>348</v>
      </c>
      <c r="B351" s="15" t="n">
        <f aca="false">MAX(0,B350+C351-D351)</f>
        <v>0</v>
      </c>
      <c r="C351" s="15" t="n">
        <f aca="false">IF(B350&lt;=0.005,0,B350*Compare!$B$4/12)</f>
        <v>0</v>
      </c>
      <c r="D351" s="15" t="n">
        <f aca="false">IF(B350&lt;=0.005,0,MIN(B350+C351,MAX(Compare!$B$7,B350*Compare!$B$5+IF(Compare!$B$6="Yes",C351,0))))</f>
        <v>0</v>
      </c>
      <c r="E351" s="15" t="n">
        <f aca="false">MAX(0,E350+F351-G351)</f>
        <v>0</v>
      </c>
      <c r="F351" s="15" t="n">
        <f aca="false">IF(E350&lt;=0.005,0,E350*Compare!$B$4/12)</f>
        <v>0</v>
      </c>
      <c r="G351" s="15" t="n">
        <f aca="false">IF(E350&lt;=0.005,0,MIN(E350+F351,Compare!$B$9))</f>
        <v>0</v>
      </c>
      <c r="H351" s="15" t="n">
        <f aca="false">MAX(0,H350+I351-J351)</f>
        <v>0</v>
      </c>
      <c r="I351" s="15" t="n">
        <f aca="false">IF(H350&lt;=0.005,0,H350*Compare!$B$4/12)</f>
        <v>0</v>
      </c>
      <c r="J351" s="15" t="n">
        <f aca="false">IF(H350&lt;=0.005,0,MIN(H350+I351,Compare!$B$9+Compare!$B$8))</f>
        <v>0</v>
      </c>
    </row>
    <row r="352" customFormat="false" ht="15" hidden="false" customHeight="false" outlineLevel="0" collapsed="false">
      <c r="A352" s="3" t="n">
        <v>349</v>
      </c>
      <c r="B352" s="15" t="n">
        <f aca="false">MAX(0,B351+C352-D352)</f>
        <v>0</v>
      </c>
      <c r="C352" s="15" t="n">
        <f aca="false">IF(B351&lt;=0.005,0,B351*Compare!$B$4/12)</f>
        <v>0</v>
      </c>
      <c r="D352" s="15" t="n">
        <f aca="false">IF(B351&lt;=0.005,0,MIN(B351+C352,MAX(Compare!$B$7,B351*Compare!$B$5+IF(Compare!$B$6="Yes",C352,0))))</f>
        <v>0</v>
      </c>
      <c r="E352" s="15" t="n">
        <f aca="false">MAX(0,E351+F352-G352)</f>
        <v>0</v>
      </c>
      <c r="F352" s="15" t="n">
        <f aca="false">IF(E351&lt;=0.005,0,E351*Compare!$B$4/12)</f>
        <v>0</v>
      </c>
      <c r="G352" s="15" t="n">
        <f aca="false">IF(E351&lt;=0.005,0,MIN(E351+F352,Compare!$B$9))</f>
        <v>0</v>
      </c>
      <c r="H352" s="15" t="n">
        <f aca="false">MAX(0,H351+I352-J352)</f>
        <v>0</v>
      </c>
      <c r="I352" s="15" t="n">
        <f aca="false">IF(H351&lt;=0.005,0,H351*Compare!$B$4/12)</f>
        <v>0</v>
      </c>
      <c r="J352" s="15" t="n">
        <f aca="false">IF(H351&lt;=0.005,0,MIN(H351+I352,Compare!$B$9+Compare!$B$8))</f>
        <v>0</v>
      </c>
    </row>
    <row r="353" customFormat="false" ht="15" hidden="false" customHeight="false" outlineLevel="0" collapsed="false">
      <c r="A353" s="3" t="n">
        <v>350</v>
      </c>
      <c r="B353" s="15" t="n">
        <f aca="false">MAX(0,B352+C353-D353)</f>
        <v>0</v>
      </c>
      <c r="C353" s="15" t="n">
        <f aca="false">IF(B352&lt;=0.005,0,B352*Compare!$B$4/12)</f>
        <v>0</v>
      </c>
      <c r="D353" s="15" t="n">
        <f aca="false">IF(B352&lt;=0.005,0,MIN(B352+C353,MAX(Compare!$B$7,B352*Compare!$B$5+IF(Compare!$B$6="Yes",C353,0))))</f>
        <v>0</v>
      </c>
      <c r="E353" s="15" t="n">
        <f aca="false">MAX(0,E352+F353-G353)</f>
        <v>0</v>
      </c>
      <c r="F353" s="15" t="n">
        <f aca="false">IF(E352&lt;=0.005,0,E352*Compare!$B$4/12)</f>
        <v>0</v>
      </c>
      <c r="G353" s="15" t="n">
        <f aca="false">IF(E352&lt;=0.005,0,MIN(E352+F353,Compare!$B$9))</f>
        <v>0</v>
      </c>
      <c r="H353" s="15" t="n">
        <f aca="false">MAX(0,H352+I353-J353)</f>
        <v>0</v>
      </c>
      <c r="I353" s="15" t="n">
        <f aca="false">IF(H352&lt;=0.005,0,H352*Compare!$B$4/12)</f>
        <v>0</v>
      </c>
      <c r="J353" s="15" t="n">
        <f aca="false">IF(H352&lt;=0.005,0,MIN(H352+I353,Compare!$B$9+Compare!$B$8))</f>
        <v>0</v>
      </c>
    </row>
    <row r="354" customFormat="false" ht="15" hidden="false" customHeight="false" outlineLevel="0" collapsed="false">
      <c r="A354" s="3" t="n">
        <v>351</v>
      </c>
      <c r="B354" s="15" t="n">
        <f aca="false">MAX(0,B353+C354-D354)</f>
        <v>0</v>
      </c>
      <c r="C354" s="15" t="n">
        <f aca="false">IF(B353&lt;=0.005,0,B353*Compare!$B$4/12)</f>
        <v>0</v>
      </c>
      <c r="D354" s="15" t="n">
        <f aca="false">IF(B353&lt;=0.005,0,MIN(B353+C354,MAX(Compare!$B$7,B353*Compare!$B$5+IF(Compare!$B$6="Yes",C354,0))))</f>
        <v>0</v>
      </c>
      <c r="E354" s="15" t="n">
        <f aca="false">MAX(0,E353+F354-G354)</f>
        <v>0</v>
      </c>
      <c r="F354" s="15" t="n">
        <f aca="false">IF(E353&lt;=0.005,0,E353*Compare!$B$4/12)</f>
        <v>0</v>
      </c>
      <c r="G354" s="15" t="n">
        <f aca="false">IF(E353&lt;=0.005,0,MIN(E353+F354,Compare!$B$9))</f>
        <v>0</v>
      </c>
      <c r="H354" s="15" t="n">
        <f aca="false">MAX(0,H353+I354-J354)</f>
        <v>0</v>
      </c>
      <c r="I354" s="15" t="n">
        <f aca="false">IF(H353&lt;=0.005,0,H353*Compare!$B$4/12)</f>
        <v>0</v>
      </c>
      <c r="J354" s="15" t="n">
        <f aca="false">IF(H353&lt;=0.005,0,MIN(H353+I354,Compare!$B$9+Compare!$B$8))</f>
        <v>0</v>
      </c>
    </row>
    <row r="355" customFormat="false" ht="15" hidden="false" customHeight="false" outlineLevel="0" collapsed="false">
      <c r="A355" s="3" t="n">
        <v>352</v>
      </c>
      <c r="B355" s="15" t="n">
        <f aca="false">MAX(0,B354+C355-D355)</f>
        <v>0</v>
      </c>
      <c r="C355" s="15" t="n">
        <f aca="false">IF(B354&lt;=0.005,0,B354*Compare!$B$4/12)</f>
        <v>0</v>
      </c>
      <c r="D355" s="15" t="n">
        <f aca="false">IF(B354&lt;=0.005,0,MIN(B354+C355,MAX(Compare!$B$7,B354*Compare!$B$5+IF(Compare!$B$6="Yes",C355,0))))</f>
        <v>0</v>
      </c>
      <c r="E355" s="15" t="n">
        <f aca="false">MAX(0,E354+F355-G355)</f>
        <v>0</v>
      </c>
      <c r="F355" s="15" t="n">
        <f aca="false">IF(E354&lt;=0.005,0,E354*Compare!$B$4/12)</f>
        <v>0</v>
      </c>
      <c r="G355" s="15" t="n">
        <f aca="false">IF(E354&lt;=0.005,0,MIN(E354+F355,Compare!$B$9))</f>
        <v>0</v>
      </c>
      <c r="H355" s="15" t="n">
        <f aca="false">MAX(0,H354+I355-J355)</f>
        <v>0</v>
      </c>
      <c r="I355" s="15" t="n">
        <f aca="false">IF(H354&lt;=0.005,0,H354*Compare!$B$4/12)</f>
        <v>0</v>
      </c>
      <c r="J355" s="15" t="n">
        <f aca="false">IF(H354&lt;=0.005,0,MIN(H354+I355,Compare!$B$9+Compare!$B$8))</f>
        <v>0</v>
      </c>
    </row>
    <row r="356" customFormat="false" ht="15" hidden="false" customHeight="false" outlineLevel="0" collapsed="false">
      <c r="A356" s="3" t="n">
        <v>353</v>
      </c>
      <c r="B356" s="15" t="n">
        <f aca="false">MAX(0,B355+C356-D356)</f>
        <v>0</v>
      </c>
      <c r="C356" s="15" t="n">
        <f aca="false">IF(B355&lt;=0.005,0,B355*Compare!$B$4/12)</f>
        <v>0</v>
      </c>
      <c r="D356" s="15" t="n">
        <f aca="false">IF(B355&lt;=0.005,0,MIN(B355+C356,MAX(Compare!$B$7,B355*Compare!$B$5+IF(Compare!$B$6="Yes",C356,0))))</f>
        <v>0</v>
      </c>
      <c r="E356" s="15" t="n">
        <f aca="false">MAX(0,E355+F356-G356)</f>
        <v>0</v>
      </c>
      <c r="F356" s="15" t="n">
        <f aca="false">IF(E355&lt;=0.005,0,E355*Compare!$B$4/12)</f>
        <v>0</v>
      </c>
      <c r="G356" s="15" t="n">
        <f aca="false">IF(E355&lt;=0.005,0,MIN(E355+F356,Compare!$B$9))</f>
        <v>0</v>
      </c>
      <c r="H356" s="15" t="n">
        <f aca="false">MAX(0,H355+I356-J356)</f>
        <v>0</v>
      </c>
      <c r="I356" s="15" t="n">
        <f aca="false">IF(H355&lt;=0.005,0,H355*Compare!$B$4/12)</f>
        <v>0</v>
      </c>
      <c r="J356" s="15" t="n">
        <f aca="false">IF(H355&lt;=0.005,0,MIN(H355+I356,Compare!$B$9+Compare!$B$8))</f>
        <v>0</v>
      </c>
    </row>
    <row r="357" customFormat="false" ht="15" hidden="false" customHeight="false" outlineLevel="0" collapsed="false">
      <c r="A357" s="3" t="n">
        <v>354</v>
      </c>
      <c r="B357" s="15" t="n">
        <f aca="false">MAX(0,B356+C357-D357)</f>
        <v>0</v>
      </c>
      <c r="C357" s="15" t="n">
        <f aca="false">IF(B356&lt;=0.005,0,B356*Compare!$B$4/12)</f>
        <v>0</v>
      </c>
      <c r="D357" s="15" t="n">
        <f aca="false">IF(B356&lt;=0.005,0,MIN(B356+C357,MAX(Compare!$B$7,B356*Compare!$B$5+IF(Compare!$B$6="Yes",C357,0))))</f>
        <v>0</v>
      </c>
      <c r="E357" s="15" t="n">
        <f aca="false">MAX(0,E356+F357-G357)</f>
        <v>0</v>
      </c>
      <c r="F357" s="15" t="n">
        <f aca="false">IF(E356&lt;=0.005,0,E356*Compare!$B$4/12)</f>
        <v>0</v>
      </c>
      <c r="G357" s="15" t="n">
        <f aca="false">IF(E356&lt;=0.005,0,MIN(E356+F357,Compare!$B$9))</f>
        <v>0</v>
      </c>
      <c r="H357" s="15" t="n">
        <f aca="false">MAX(0,H356+I357-J357)</f>
        <v>0</v>
      </c>
      <c r="I357" s="15" t="n">
        <f aca="false">IF(H356&lt;=0.005,0,H356*Compare!$B$4/12)</f>
        <v>0</v>
      </c>
      <c r="J357" s="15" t="n">
        <f aca="false">IF(H356&lt;=0.005,0,MIN(H356+I357,Compare!$B$9+Compare!$B$8))</f>
        <v>0</v>
      </c>
    </row>
    <row r="358" customFormat="false" ht="15" hidden="false" customHeight="false" outlineLevel="0" collapsed="false">
      <c r="A358" s="3" t="n">
        <v>355</v>
      </c>
      <c r="B358" s="15" t="n">
        <f aca="false">MAX(0,B357+C358-D358)</f>
        <v>0</v>
      </c>
      <c r="C358" s="15" t="n">
        <f aca="false">IF(B357&lt;=0.005,0,B357*Compare!$B$4/12)</f>
        <v>0</v>
      </c>
      <c r="D358" s="15" t="n">
        <f aca="false">IF(B357&lt;=0.005,0,MIN(B357+C358,MAX(Compare!$B$7,B357*Compare!$B$5+IF(Compare!$B$6="Yes",C358,0))))</f>
        <v>0</v>
      </c>
      <c r="E358" s="15" t="n">
        <f aca="false">MAX(0,E357+F358-G358)</f>
        <v>0</v>
      </c>
      <c r="F358" s="15" t="n">
        <f aca="false">IF(E357&lt;=0.005,0,E357*Compare!$B$4/12)</f>
        <v>0</v>
      </c>
      <c r="G358" s="15" t="n">
        <f aca="false">IF(E357&lt;=0.005,0,MIN(E357+F358,Compare!$B$9))</f>
        <v>0</v>
      </c>
      <c r="H358" s="15" t="n">
        <f aca="false">MAX(0,H357+I358-J358)</f>
        <v>0</v>
      </c>
      <c r="I358" s="15" t="n">
        <f aca="false">IF(H357&lt;=0.005,0,H357*Compare!$B$4/12)</f>
        <v>0</v>
      </c>
      <c r="J358" s="15" t="n">
        <f aca="false">IF(H357&lt;=0.005,0,MIN(H357+I358,Compare!$B$9+Compare!$B$8))</f>
        <v>0</v>
      </c>
    </row>
    <row r="359" customFormat="false" ht="15" hidden="false" customHeight="false" outlineLevel="0" collapsed="false">
      <c r="A359" s="3" t="n">
        <v>356</v>
      </c>
      <c r="B359" s="15" t="n">
        <f aca="false">MAX(0,B358+C359-D359)</f>
        <v>0</v>
      </c>
      <c r="C359" s="15" t="n">
        <f aca="false">IF(B358&lt;=0.005,0,B358*Compare!$B$4/12)</f>
        <v>0</v>
      </c>
      <c r="D359" s="15" t="n">
        <f aca="false">IF(B358&lt;=0.005,0,MIN(B358+C359,MAX(Compare!$B$7,B358*Compare!$B$5+IF(Compare!$B$6="Yes",C359,0))))</f>
        <v>0</v>
      </c>
      <c r="E359" s="15" t="n">
        <f aca="false">MAX(0,E358+F359-G359)</f>
        <v>0</v>
      </c>
      <c r="F359" s="15" t="n">
        <f aca="false">IF(E358&lt;=0.005,0,E358*Compare!$B$4/12)</f>
        <v>0</v>
      </c>
      <c r="G359" s="15" t="n">
        <f aca="false">IF(E358&lt;=0.005,0,MIN(E358+F359,Compare!$B$9))</f>
        <v>0</v>
      </c>
      <c r="H359" s="15" t="n">
        <f aca="false">MAX(0,H358+I359-J359)</f>
        <v>0</v>
      </c>
      <c r="I359" s="15" t="n">
        <f aca="false">IF(H358&lt;=0.005,0,H358*Compare!$B$4/12)</f>
        <v>0</v>
      </c>
      <c r="J359" s="15" t="n">
        <f aca="false">IF(H358&lt;=0.005,0,MIN(H358+I359,Compare!$B$9+Compare!$B$8))</f>
        <v>0</v>
      </c>
    </row>
    <row r="360" customFormat="false" ht="15" hidden="false" customHeight="false" outlineLevel="0" collapsed="false">
      <c r="A360" s="3" t="n">
        <v>357</v>
      </c>
      <c r="B360" s="15" t="n">
        <f aca="false">MAX(0,B359+C360-D360)</f>
        <v>0</v>
      </c>
      <c r="C360" s="15" t="n">
        <f aca="false">IF(B359&lt;=0.005,0,B359*Compare!$B$4/12)</f>
        <v>0</v>
      </c>
      <c r="D360" s="15" t="n">
        <f aca="false">IF(B359&lt;=0.005,0,MIN(B359+C360,MAX(Compare!$B$7,B359*Compare!$B$5+IF(Compare!$B$6="Yes",C360,0))))</f>
        <v>0</v>
      </c>
      <c r="E360" s="15" t="n">
        <f aca="false">MAX(0,E359+F360-G360)</f>
        <v>0</v>
      </c>
      <c r="F360" s="15" t="n">
        <f aca="false">IF(E359&lt;=0.005,0,E359*Compare!$B$4/12)</f>
        <v>0</v>
      </c>
      <c r="G360" s="15" t="n">
        <f aca="false">IF(E359&lt;=0.005,0,MIN(E359+F360,Compare!$B$9))</f>
        <v>0</v>
      </c>
      <c r="H360" s="15" t="n">
        <f aca="false">MAX(0,H359+I360-J360)</f>
        <v>0</v>
      </c>
      <c r="I360" s="15" t="n">
        <f aca="false">IF(H359&lt;=0.005,0,H359*Compare!$B$4/12)</f>
        <v>0</v>
      </c>
      <c r="J360" s="15" t="n">
        <f aca="false">IF(H359&lt;=0.005,0,MIN(H359+I360,Compare!$B$9+Compare!$B$8))</f>
        <v>0</v>
      </c>
    </row>
    <row r="361" customFormat="false" ht="15" hidden="false" customHeight="false" outlineLevel="0" collapsed="false">
      <c r="A361" s="3" t="n">
        <v>358</v>
      </c>
      <c r="B361" s="15" t="n">
        <f aca="false">MAX(0,B360+C361-D361)</f>
        <v>0</v>
      </c>
      <c r="C361" s="15" t="n">
        <f aca="false">IF(B360&lt;=0.005,0,B360*Compare!$B$4/12)</f>
        <v>0</v>
      </c>
      <c r="D361" s="15" t="n">
        <f aca="false">IF(B360&lt;=0.005,0,MIN(B360+C361,MAX(Compare!$B$7,B360*Compare!$B$5+IF(Compare!$B$6="Yes",C361,0))))</f>
        <v>0</v>
      </c>
      <c r="E361" s="15" t="n">
        <f aca="false">MAX(0,E360+F361-G361)</f>
        <v>0</v>
      </c>
      <c r="F361" s="15" t="n">
        <f aca="false">IF(E360&lt;=0.005,0,E360*Compare!$B$4/12)</f>
        <v>0</v>
      </c>
      <c r="G361" s="15" t="n">
        <f aca="false">IF(E360&lt;=0.005,0,MIN(E360+F361,Compare!$B$9))</f>
        <v>0</v>
      </c>
      <c r="H361" s="15" t="n">
        <f aca="false">MAX(0,H360+I361-J361)</f>
        <v>0</v>
      </c>
      <c r="I361" s="15" t="n">
        <f aca="false">IF(H360&lt;=0.005,0,H360*Compare!$B$4/12)</f>
        <v>0</v>
      </c>
      <c r="J361" s="15" t="n">
        <f aca="false">IF(H360&lt;=0.005,0,MIN(H360+I361,Compare!$B$9+Compare!$B$8))</f>
        <v>0</v>
      </c>
    </row>
    <row r="362" customFormat="false" ht="15" hidden="false" customHeight="false" outlineLevel="0" collapsed="false">
      <c r="A362" s="3" t="n">
        <v>359</v>
      </c>
      <c r="B362" s="15" t="n">
        <f aca="false">MAX(0,B361+C362-D362)</f>
        <v>0</v>
      </c>
      <c r="C362" s="15" t="n">
        <f aca="false">IF(B361&lt;=0.005,0,B361*Compare!$B$4/12)</f>
        <v>0</v>
      </c>
      <c r="D362" s="15" t="n">
        <f aca="false">IF(B361&lt;=0.005,0,MIN(B361+C362,MAX(Compare!$B$7,B361*Compare!$B$5+IF(Compare!$B$6="Yes",C362,0))))</f>
        <v>0</v>
      </c>
      <c r="E362" s="15" t="n">
        <f aca="false">MAX(0,E361+F362-G362)</f>
        <v>0</v>
      </c>
      <c r="F362" s="15" t="n">
        <f aca="false">IF(E361&lt;=0.005,0,E361*Compare!$B$4/12)</f>
        <v>0</v>
      </c>
      <c r="G362" s="15" t="n">
        <f aca="false">IF(E361&lt;=0.005,0,MIN(E361+F362,Compare!$B$9))</f>
        <v>0</v>
      </c>
      <c r="H362" s="15" t="n">
        <f aca="false">MAX(0,H361+I362-J362)</f>
        <v>0</v>
      </c>
      <c r="I362" s="15" t="n">
        <f aca="false">IF(H361&lt;=0.005,0,H361*Compare!$B$4/12)</f>
        <v>0</v>
      </c>
      <c r="J362" s="15" t="n">
        <f aca="false">IF(H361&lt;=0.005,0,MIN(H361+I362,Compare!$B$9+Compare!$B$8))</f>
        <v>0</v>
      </c>
    </row>
    <row r="363" customFormat="false" ht="15" hidden="false" customHeight="false" outlineLevel="0" collapsed="false">
      <c r="A363" s="3" t="n">
        <v>360</v>
      </c>
      <c r="B363" s="15" t="n">
        <f aca="false">MAX(0,B362+C363-D363)</f>
        <v>0</v>
      </c>
      <c r="C363" s="15" t="n">
        <f aca="false">IF(B362&lt;=0.005,0,B362*Compare!$B$4/12)</f>
        <v>0</v>
      </c>
      <c r="D363" s="15" t="n">
        <f aca="false">IF(B362&lt;=0.005,0,MIN(B362+C363,MAX(Compare!$B$7,B362*Compare!$B$5+IF(Compare!$B$6="Yes",C363,0))))</f>
        <v>0</v>
      </c>
      <c r="E363" s="15" t="n">
        <f aca="false">MAX(0,E362+F363-G363)</f>
        <v>0</v>
      </c>
      <c r="F363" s="15" t="n">
        <f aca="false">IF(E362&lt;=0.005,0,E362*Compare!$B$4/12)</f>
        <v>0</v>
      </c>
      <c r="G363" s="15" t="n">
        <f aca="false">IF(E362&lt;=0.005,0,MIN(E362+F363,Compare!$B$9))</f>
        <v>0</v>
      </c>
      <c r="H363" s="15" t="n">
        <f aca="false">MAX(0,H362+I363-J363)</f>
        <v>0</v>
      </c>
      <c r="I363" s="15" t="n">
        <f aca="false">IF(H362&lt;=0.005,0,H362*Compare!$B$4/12)</f>
        <v>0</v>
      </c>
      <c r="J363" s="15" t="n">
        <f aca="false">IF(H362&lt;=0.005,0,MIN(H362+I363,Compare!$B$9+Compare!$B$8))</f>
        <v>0</v>
      </c>
    </row>
    <row r="364" customFormat="false" ht="15" hidden="false" customHeight="false" outlineLevel="0" collapsed="false">
      <c r="A364" s="3" t="n">
        <v>361</v>
      </c>
      <c r="B364" s="15" t="n">
        <f aca="false">MAX(0,B363+C364-D364)</f>
        <v>0</v>
      </c>
      <c r="C364" s="15" t="n">
        <f aca="false">IF(B363&lt;=0.005,0,B363*Compare!$B$4/12)</f>
        <v>0</v>
      </c>
      <c r="D364" s="15" t="n">
        <f aca="false">IF(B363&lt;=0.005,0,MIN(B363+C364,MAX(Compare!$B$7,B363*Compare!$B$5+IF(Compare!$B$6="Yes",C364,0))))</f>
        <v>0</v>
      </c>
      <c r="E364" s="15" t="n">
        <f aca="false">MAX(0,E363+F364-G364)</f>
        <v>0</v>
      </c>
      <c r="F364" s="15" t="n">
        <f aca="false">IF(E363&lt;=0.005,0,E363*Compare!$B$4/12)</f>
        <v>0</v>
      </c>
      <c r="G364" s="15" t="n">
        <f aca="false">IF(E363&lt;=0.005,0,MIN(E363+F364,Compare!$B$9))</f>
        <v>0</v>
      </c>
      <c r="H364" s="15" t="n">
        <f aca="false">MAX(0,H363+I364-J364)</f>
        <v>0</v>
      </c>
      <c r="I364" s="15" t="n">
        <f aca="false">IF(H363&lt;=0.005,0,H363*Compare!$B$4/12)</f>
        <v>0</v>
      </c>
      <c r="J364" s="15" t="n">
        <f aca="false">IF(H363&lt;=0.005,0,MIN(H363+I364,Compare!$B$9+Compare!$B$8))</f>
        <v>0</v>
      </c>
    </row>
    <row r="365" customFormat="false" ht="15" hidden="false" customHeight="false" outlineLevel="0" collapsed="false">
      <c r="A365" s="3" t="n">
        <v>362</v>
      </c>
      <c r="B365" s="15" t="n">
        <f aca="false">MAX(0,B364+C365-D365)</f>
        <v>0</v>
      </c>
      <c r="C365" s="15" t="n">
        <f aca="false">IF(B364&lt;=0.005,0,B364*Compare!$B$4/12)</f>
        <v>0</v>
      </c>
      <c r="D365" s="15" t="n">
        <f aca="false">IF(B364&lt;=0.005,0,MIN(B364+C365,MAX(Compare!$B$7,B364*Compare!$B$5+IF(Compare!$B$6="Yes",C365,0))))</f>
        <v>0</v>
      </c>
      <c r="E365" s="15" t="n">
        <f aca="false">MAX(0,E364+F365-G365)</f>
        <v>0</v>
      </c>
      <c r="F365" s="15" t="n">
        <f aca="false">IF(E364&lt;=0.005,0,E364*Compare!$B$4/12)</f>
        <v>0</v>
      </c>
      <c r="G365" s="15" t="n">
        <f aca="false">IF(E364&lt;=0.005,0,MIN(E364+F365,Compare!$B$9))</f>
        <v>0</v>
      </c>
      <c r="H365" s="15" t="n">
        <f aca="false">MAX(0,H364+I365-J365)</f>
        <v>0</v>
      </c>
      <c r="I365" s="15" t="n">
        <f aca="false">IF(H364&lt;=0.005,0,H364*Compare!$B$4/12)</f>
        <v>0</v>
      </c>
      <c r="J365" s="15" t="n">
        <f aca="false">IF(H364&lt;=0.005,0,MIN(H364+I365,Compare!$B$9+Compare!$B$8))</f>
        <v>0</v>
      </c>
    </row>
    <row r="366" customFormat="false" ht="15" hidden="false" customHeight="false" outlineLevel="0" collapsed="false">
      <c r="A366" s="3" t="n">
        <v>363</v>
      </c>
      <c r="B366" s="15" t="n">
        <f aca="false">MAX(0,B365+C366-D366)</f>
        <v>0</v>
      </c>
      <c r="C366" s="15" t="n">
        <f aca="false">IF(B365&lt;=0.005,0,B365*Compare!$B$4/12)</f>
        <v>0</v>
      </c>
      <c r="D366" s="15" t="n">
        <f aca="false">IF(B365&lt;=0.005,0,MIN(B365+C366,MAX(Compare!$B$7,B365*Compare!$B$5+IF(Compare!$B$6="Yes",C366,0))))</f>
        <v>0</v>
      </c>
      <c r="E366" s="15" t="n">
        <f aca="false">MAX(0,E365+F366-G366)</f>
        <v>0</v>
      </c>
      <c r="F366" s="15" t="n">
        <f aca="false">IF(E365&lt;=0.005,0,E365*Compare!$B$4/12)</f>
        <v>0</v>
      </c>
      <c r="G366" s="15" t="n">
        <f aca="false">IF(E365&lt;=0.005,0,MIN(E365+F366,Compare!$B$9))</f>
        <v>0</v>
      </c>
      <c r="H366" s="15" t="n">
        <f aca="false">MAX(0,H365+I366-J366)</f>
        <v>0</v>
      </c>
      <c r="I366" s="15" t="n">
        <f aca="false">IF(H365&lt;=0.005,0,H365*Compare!$B$4/12)</f>
        <v>0</v>
      </c>
      <c r="J366" s="15" t="n">
        <f aca="false">IF(H365&lt;=0.005,0,MIN(H365+I366,Compare!$B$9+Compare!$B$8))</f>
        <v>0</v>
      </c>
    </row>
    <row r="367" customFormat="false" ht="15" hidden="false" customHeight="false" outlineLevel="0" collapsed="false">
      <c r="A367" s="3" t="n">
        <v>364</v>
      </c>
      <c r="B367" s="15" t="n">
        <f aca="false">MAX(0,B366+C367-D367)</f>
        <v>0</v>
      </c>
      <c r="C367" s="15" t="n">
        <f aca="false">IF(B366&lt;=0.005,0,B366*Compare!$B$4/12)</f>
        <v>0</v>
      </c>
      <c r="D367" s="15" t="n">
        <f aca="false">IF(B366&lt;=0.005,0,MIN(B366+C367,MAX(Compare!$B$7,B366*Compare!$B$5+IF(Compare!$B$6="Yes",C367,0))))</f>
        <v>0</v>
      </c>
      <c r="E367" s="15" t="n">
        <f aca="false">MAX(0,E366+F367-G367)</f>
        <v>0</v>
      </c>
      <c r="F367" s="15" t="n">
        <f aca="false">IF(E366&lt;=0.005,0,E366*Compare!$B$4/12)</f>
        <v>0</v>
      </c>
      <c r="G367" s="15" t="n">
        <f aca="false">IF(E366&lt;=0.005,0,MIN(E366+F367,Compare!$B$9))</f>
        <v>0</v>
      </c>
      <c r="H367" s="15" t="n">
        <f aca="false">MAX(0,H366+I367-J367)</f>
        <v>0</v>
      </c>
      <c r="I367" s="15" t="n">
        <f aca="false">IF(H366&lt;=0.005,0,H366*Compare!$B$4/12)</f>
        <v>0</v>
      </c>
      <c r="J367" s="15" t="n">
        <f aca="false">IF(H366&lt;=0.005,0,MIN(H366+I367,Compare!$B$9+Compare!$B$8))</f>
        <v>0</v>
      </c>
    </row>
    <row r="368" customFormat="false" ht="15" hidden="false" customHeight="false" outlineLevel="0" collapsed="false">
      <c r="A368" s="3" t="n">
        <v>365</v>
      </c>
      <c r="B368" s="15" t="n">
        <f aca="false">MAX(0,B367+C368-D368)</f>
        <v>0</v>
      </c>
      <c r="C368" s="15" t="n">
        <f aca="false">IF(B367&lt;=0.005,0,B367*Compare!$B$4/12)</f>
        <v>0</v>
      </c>
      <c r="D368" s="15" t="n">
        <f aca="false">IF(B367&lt;=0.005,0,MIN(B367+C368,MAX(Compare!$B$7,B367*Compare!$B$5+IF(Compare!$B$6="Yes",C368,0))))</f>
        <v>0</v>
      </c>
      <c r="E368" s="15" t="n">
        <f aca="false">MAX(0,E367+F368-G368)</f>
        <v>0</v>
      </c>
      <c r="F368" s="15" t="n">
        <f aca="false">IF(E367&lt;=0.005,0,E367*Compare!$B$4/12)</f>
        <v>0</v>
      </c>
      <c r="G368" s="15" t="n">
        <f aca="false">IF(E367&lt;=0.005,0,MIN(E367+F368,Compare!$B$9))</f>
        <v>0</v>
      </c>
      <c r="H368" s="15" t="n">
        <f aca="false">MAX(0,H367+I368-J368)</f>
        <v>0</v>
      </c>
      <c r="I368" s="15" t="n">
        <f aca="false">IF(H367&lt;=0.005,0,H367*Compare!$B$4/12)</f>
        <v>0</v>
      </c>
      <c r="J368" s="15" t="n">
        <f aca="false">IF(H367&lt;=0.005,0,MIN(H367+I368,Compare!$B$9+Compare!$B$8))</f>
        <v>0</v>
      </c>
    </row>
    <row r="369" customFormat="false" ht="15" hidden="false" customHeight="false" outlineLevel="0" collapsed="false">
      <c r="A369" s="3" t="n">
        <v>366</v>
      </c>
      <c r="B369" s="15" t="n">
        <f aca="false">MAX(0,B368+C369-D369)</f>
        <v>0</v>
      </c>
      <c r="C369" s="15" t="n">
        <f aca="false">IF(B368&lt;=0.005,0,B368*Compare!$B$4/12)</f>
        <v>0</v>
      </c>
      <c r="D369" s="15" t="n">
        <f aca="false">IF(B368&lt;=0.005,0,MIN(B368+C369,MAX(Compare!$B$7,B368*Compare!$B$5+IF(Compare!$B$6="Yes",C369,0))))</f>
        <v>0</v>
      </c>
      <c r="E369" s="15" t="n">
        <f aca="false">MAX(0,E368+F369-G369)</f>
        <v>0</v>
      </c>
      <c r="F369" s="15" t="n">
        <f aca="false">IF(E368&lt;=0.005,0,E368*Compare!$B$4/12)</f>
        <v>0</v>
      </c>
      <c r="G369" s="15" t="n">
        <f aca="false">IF(E368&lt;=0.005,0,MIN(E368+F369,Compare!$B$9))</f>
        <v>0</v>
      </c>
      <c r="H369" s="15" t="n">
        <f aca="false">MAX(0,H368+I369-J369)</f>
        <v>0</v>
      </c>
      <c r="I369" s="15" t="n">
        <f aca="false">IF(H368&lt;=0.005,0,H368*Compare!$B$4/12)</f>
        <v>0</v>
      </c>
      <c r="J369" s="15" t="n">
        <f aca="false">IF(H368&lt;=0.005,0,MIN(H368+I369,Compare!$B$9+Compare!$B$8))</f>
        <v>0</v>
      </c>
    </row>
    <row r="370" customFormat="false" ht="15" hidden="false" customHeight="false" outlineLevel="0" collapsed="false">
      <c r="A370" s="3" t="n">
        <v>367</v>
      </c>
      <c r="B370" s="15" t="n">
        <f aca="false">MAX(0,B369+C370-D370)</f>
        <v>0</v>
      </c>
      <c r="C370" s="15" t="n">
        <f aca="false">IF(B369&lt;=0.005,0,B369*Compare!$B$4/12)</f>
        <v>0</v>
      </c>
      <c r="D370" s="15" t="n">
        <f aca="false">IF(B369&lt;=0.005,0,MIN(B369+C370,MAX(Compare!$B$7,B369*Compare!$B$5+IF(Compare!$B$6="Yes",C370,0))))</f>
        <v>0</v>
      </c>
      <c r="E370" s="15" t="n">
        <f aca="false">MAX(0,E369+F370-G370)</f>
        <v>0</v>
      </c>
      <c r="F370" s="15" t="n">
        <f aca="false">IF(E369&lt;=0.005,0,E369*Compare!$B$4/12)</f>
        <v>0</v>
      </c>
      <c r="G370" s="15" t="n">
        <f aca="false">IF(E369&lt;=0.005,0,MIN(E369+F370,Compare!$B$9))</f>
        <v>0</v>
      </c>
      <c r="H370" s="15" t="n">
        <f aca="false">MAX(0,H369+I370-J370)</f>
        <v>0</v>
      </c>
      <c r="I370" s="15" t="n">
        <f aca="false">IF(H369&lt;=0.005,0,H369*Compare!$B$4/12)</f>
        <v>0</v>
      </c>
      <c r="J370" s="15" t="n">
        <f aca="false">IF(H369&lt;=0.005,0,MIN(H369+I370,Compare!$B$9+Compare!$B$8))</f>
        <v>0</v>
      </c>
    </row>
    <row r="371" customFormat="false" ht="15" hidden="false" customHeight="false" outlineLevel="0" collapsed="false">
      <c r="A371" s="3" t="n">
        <v>368</v>
      </c>
      <c r="B371" s="15" t="n">
        <f aca="false">MAX(0,B370+C371-D371)</f>
        <v>0</v>
      </c>
      <c r="C371" s="15" t="n">
        <f aca="false">IF(B370&lt;=0.005,0,B370*Compare!$B$4/12)</f>
        <v>0</v>
      </c>
      <c r="D371" s="15" t="n">
        <f aca="false">IF(B370&lt;=0.005,0,MIN(B370+C371,MAX(Compare!$B$7,B370*Compare!$B$5+IF(Compare!$B$6="Yes",C371,0))))</f>
        <v>0</v>
      </c>
      <c r="E371" s="15" t="n">
        <f aca="false">MAX(0,E370+F371-G371)</f>
        <v>0</v>
      </c>
      <c r="F371" s="15" t="n">
        <f aca="false">IF(E370&lt;=0.005,0,E370*Compare!$B$4/12)</f>
        <v>0</v>
      </c>
      <c r="G371" s="15" t="n">
        <f aca="false">IF(E370&lt;=0.005,0,MIN(E370+F371,Compare!$B$9))</f>
        <v>0</v>
      </c>
      <c r="H371" s="15" t="n">
        <f aca="false">MAX(0,H370+I371-J371)</f>
        <v>0</v>
      </c>
      <c r="I371" s="15" t="n">
        <f aca="false">IF(H370&lt;=0.005,0,H370*Compare!$B$4/12)</f>
        <v>0</v>
      </c>
      <c r="J371" s="15" t="n">
        <f aca="false">IF(H370&lt;=0.005,0,MIN(H370+I371,Compare!$B$9+Compare!$B$8))</f>
        <v>0</v>
      </c>
    </row>
    <row r="372" customFormat="false" ht="15" hidden="false" customHeight="false" outlineLevel="0" collapsed="false">
      <c r="A372" s="3" t="n">
        <v>369</v>
      </c>
      <c r="B372" s="15" t="n">
        <f aca="false">MAX(0,B371+C372-D372)</f>
        <v>0</v>
      </c>
      <c r="C372" s="15" t="n">
        <f aca="false">IF(B371&lt;=0.005,0,B371*Compare!$B$4/12)</f>
        <v>0</v>
      </c>
      <c r="D372" s="15" t="n">
        <f aca="false">IF(B371&lt;=0.005,0,MIN(B371+C372,MAX(Compare!$B$7,B371*Compare!$B$5+IF(Compare!$B$6="Yes",C372,0))))</f>
        <v>0</v>
      </c>
      <c r="E372" s="15" t="n">
        <f aca="false">MAX(0,E371+F372-G372)</f>
        <v>0</v>
      </c>
      <c r="F372" s="15" t="n">
        <f aca="false">IF(E371&lt;=0.005,0,E371*Compare!$B$4/12)</f>
        <v>0</v>
      </c>
      <c r="G372" s="15" t="n">
        <f aca="false">IF(E371&lt;=0.005,0,MIN(E371+F372,Compare!$B$9))</f>
        <v>0</v>
      </c>
      <c r="H372" s="15" t="n">
        <f aca="false">MAX(0,H371+I372-J372)</f>
        <v>0</v>
      </c>
      <c r="I372" s="15" t="n">
        <f aca="false">IF(H371&lt;=0.005,0,H371*Compare!$B$4/12)</f>
        <v>0</v>
      </c>
      <c r="J372" s="15" t="n">
        <f aca="false">IF(H371&lt;=0.005,0,MIN(H371+I372,Compare!$B$9+Compare!$B$8))</f>
        <v>0</v>
      </c>
    </row>
    <row r="373" customFormat="false" ht="15" hidden="false" customHeight="false" outlineLevel="0" collapsed="false">
      <c r="A373" s="3" t="n">
        <v>370</v>
      </c>
      <c r="B373" s="15" t="n">
        <f aca="false">MAX(0,B372+C373-D373)</f>
        <v>0</v>
      </c>
      <c r="C373" s="15" t="n">
        <f aca="false">IF(B372&lt;=0.005,0,B372*Compare!$B$4/12)</f>
        <v>0</v>
      </c>
      <c r="D373" s="15" t="n">
        <f aca="false">IF(B372&lt;=0.005,0,MIN(B372+C373,MAX(Compare!$B$7,B372*Compare!$B$5+IF(Compare!$B$6="Yes",C373,0))))</f>
        <v>0</v>
      </c>
      <c r="E373" s="15" t="n">
        <f aca="false">MAX(0,E372+F373-G373)</f>
        <v>0</v>
      </c>
      <c r="F373" s="15" t="n">
        <f aca="false">IF(E372&lt;=0.005,0,E372*Compare!$B$4/12)</f>
        <v>0</v>
      </c>
      <c r="G373" s="15" t="n">
        <f aca="false">IF(E372&lt;=0.005,0,MIN(E372+F373,Compare!$B$9))</f>
        <v>0</v>
      </c>
      <c r="H373" s="15" t="n">
        <f aca="false">MAX(0,H372+I373-J373)</f>
        <v>0</v>
      </c>
      <c r="I373" s="15" t="n">
        <f aca="false">IF(H372&lt;=0.005,0,H372*Compare!$B$4/12)</f>
        <v>0</v>
      </c>
      <c r="J373" s="15" t="n">
        <f aca="false">IF(H372&lt;=0.005,0,MIN(H372+I373,Compare!$B$9+Compare!$B$8))</f>
        <v>0</v>
      </c>
    </row>
    <row r="374" customFormat="false" ht="15" hidden="false" customHeight="false" outlineLevel="0" collapsed="false">
      <c r="A374" s="3" t="n">
        <v>371</v>
      </c>
      <c r="B374" s="15" t="n">
        <f aca="false">MAX(0,B373+C374-D374)</f>
        <v>0</v>
      </c>
      <c r="C374" s="15" t="n">
        <f aca="false">IF(B373&lt;=0.005,0,B373*Compare!$B$4/12)</f>
        <v>0</v>
      </c>
      <c r="D374" s="15" t="n">
        <f aca="false">IF(B373&lt;=0.005,0,MIN(B373+C374,MAX(Compare!$B$7,B373*Compare!$B$5+IF(Compare!$B$6="Yes",C374,0))))</f>
        <v>0</v>
      </c>
      <c r="E374" s="15" t="n">
        <f aca="false">MAX(0,E373+F374-G374)</f>
        <v>0</v>
      </c>
      <c r="F374" s="15" t="n">
        <f aca="false">IF(E373&lt;=0.005,0,E373*Compare!$B$4/12)</f>
        <v>0</v>
      </c>
      <c r="G374" s="15" t="n">
        <f aca="false">IF(E373&lt;=0.005,0,MIN(E373+F374,Compare!$B$9))</f>
        <v>0</v>
      </c>
      <c r="H374" s="15" t="n">
        <f aca="false">MAX(0,H373+I374-J374)</f>
        <v>0</v>
      </c>
      <c r="I374" s="15" t="n">
        <f aca="false">IF(H373&lt;=0.005,0,H373*Compare!$B$4/12)</f>
        <v>0</v>
      </c>
      <c r="J374" s="15" t="n">
        <f aca="false">IF(H373&lt;=0.005,0,MIN(H373+I374,Compare!$B$9+Compare!$B$8))</f>
        <v>0</v>
      </c>
    </row>
    <row r="375" customFormat="false" ht="15" hidden="false" customHeight="false" outlineLevel="0" collapsed="false">
      <c r="A375" s="3" t="n">
        <v>372</v>
      </c>
      <c r="B375" s="15" t="n">
        <f aca="false">MAX(0,B374+C375-D375)</f>
        <v>0</v>
      </c>
      <c r="C375" s="15" t="n">
        <f aca="false">IF(B374&lt;=0.005,0,B374*Compare!$B$4/12)</f>
        <v>0</v>
      </c>
      <c r="D375" s="15" t="n">
        <f aca="false">IF(B374&lt;=0.005,0,MIN(B374+C375,MAX(Compare!$B$7,B374*Compare!$B$5+IF(Compare!$B$6="Yes",C375,0))))</f>
        <v>0</v>
      </c>
      <c r="E375" s="15" t="n">
        <f aca="false">MAX(0,E374+F375-G375)</f>
        <v>0</v>
      </c>
      <c r="F375" s="15" t="n">
        <f aca="false">IF(E374&lt;=0.005,0,E374*Compare!$B$4/12)</f>
        <v>0</v>
      </c>
      <c r="G375" s="15" t="n">
        <f aca="false">IF(E374&lt;=0.005,0,MIN(E374+F375,Compare!$B$9))</f>
        <v>0</v>
      </c>
      <c r="H375" s="15" t="n">
        <f aca="false">MAX(0,H374+I375-J375)</f>
        <v>0</v>
      </c>
      <c r="I375" s="15" t="n">
        <f aca="false">IF(H374&lt;=0.005,0,H374*Compare!$B$4/12)</f>
        <v>0</v>
      </c>
      <c r="J375" s="15" t="n">
        <f aca="false">IF(H374&lt;=0.005,0,MIN(H374+I375,Compare!$B$9+Compare!$B$8))</f>
        <v>0</v>
      </c>
    </row>
    <row r="376" customFormat="false" ht="15" hidden="false" customHeight="false" outlineLevel="0" collapsed="false">
      <c r="A376" s="3" t="n">
        <v>373</v>
      </c>
      <c r="B376" s="15" t="n">
        <f aca="false">MAX(0,B375+C376-D376)</f>
        <v>0</v>
      </c>
      <c r="C376" s="15" t="n">
        <f aca="false">IF(B375&lt;=0.005,0,B375*Compare!$B$4/12)</f>
        <v>0</v>
      </c>
      <c r="D376" s="15" t="n">
        <f aca="false">IF(B375&lt;=0.005,0,MIN(B375+C376,MAX(Compare!$B$7,B375*Compare!$B$5+IF(Compare!$B$6="Yes",C376,0))))</f>
        <v>0</v>
      </c>
      <c r="E376" s="15" t="n">
        <f aca="false">MAX(0,E375+F376-G376)</f>
        <v>0</v>
      </c>
      <c r="F376" s="15" t="n">
        <f aca="false">IF(E375&lt;=0.005,0,E375*Compare!$B$4/12)</f>
        <v>0</v>
      </c>
      <c r="G376" s="15" t="n">
        <f aca="false">IF(E375&lt;=0.005,0,MIN(E375+F376,Compare!$B$9))</f>
        <v>0</v>
      </c>
      <c r="H376" s="15" t="n">
        <f aca="false">MAX(0,H375+I376-J376)</f>
        <v>0</v>
      </c>
      <c r="I376" s="15" t="n">
        <f aca="false">IF(H375&lt;=0.005,0,H375*Compare!$B$4/12)</f>
        <v>0</v>
      </c>
      <c r="J376" s="15" t="n">
        <f aca="false">IF(H375&lt;=0.005,0,MIN(H375+I376,Compare!$B$9+Compare!$B$8))</f>
        <v>0</v>
      </c>
    </row>
    <row r="377" customFormat="false" ht="15" hidden="false" customHeight="false" outlineLevel="0" collapsed="false">
      <c r="A377" s="3" t="n">
        <v>374</v>
      </c>
      <c r="B377" s="15" t="n">
        <f aca="false">MAX(0,B376+C377-D377)</f>
        <v>0</v>
      </c>
      <c r="C377" s="15" t="n">
        <f aca="false">IF(B376&lt;=0.005,0,B376*Compare!$B$4/12)</f>
        <v>0</v>
      </c>
      <c r="D377" s="15" t="n">
        <f aca="false">IF(B376&lt;=0.005,0,MIN(B376+C377,MAX(Compare!$B$7,B376*Compare!$B$5+IF(Compare!$B$6="Yes",C377,0))))</f>
        <v>0</v>
      </c>
      <c r="E377" s="15" t="n">
        <f aca="false">MAX(0,E376+F377-G377)</f>
        <v>0</v>
      </c>
      <c r="F377" s="15" t="n">
        <f aca="false">IF(E376&lt;=0.005,0,E376*Compare!$B$4/12)</f>
        <v>0</v>
      </c>
      <c r="G377" s="15" t="n">
        <f aca="false">IF(E376&lt;=0.005,0,MIN(E376+F377,Compare!$B$9))</f>
        <v>0</v>
      </c>
      <c r="H377" s="15" t="n">
        <f aca="false">MAX(0,H376+I377-J377)</f>
        <v>0</v>
      </c>
      <c r="I377" s="15" t="n">
        <f aca="false">IF(H376&lt;=0.005,0,H376*Compare!$B$4/12)</f>
        <v>0</v>
      </c>
      <c r="J377" s="15" t="n">
        <f aca="false">IF(H376&lt;=0.005,0,MIN(H376+I377,Compare!$B$9+Compare!$B$8))</f>
        <v>0</v>
      </c>
    </row>
    <row r="378" customFormat="false" ht="15" hidden="false" customHeight="false" outlineLevel="0" collapsed="false">
      <c r="A378" s="3" t="n">
        <v>375</v>
      </c>
      <c r="B378" s="15" t="n">
        <f aca="false">MAX(0,B377+C378-D378)</f>
        <v>0</v>
      </c>
      <c r="C378" s="15" t="n">
        <f aca="false">IF(B377&lt;=0.005,0,B377*Compare!$B$4/12)</f>
        <v>0</v>
      </c>
      <c r="D378" s="15" t="n">
        <f aca="false">IF(B377&lt;=0.005,0,MIN(B377+C378,MAX(Compare!$B$7,B377*Compare!$B$5+IF(Compare!$B$6="Yes",C378,0))))</f>
        <v>0</v>
      </c>
      <c r="E378" s="15" t="n">
        <f aca="false">MAX(0,E377+F378-G378)</f>
        <v>0</v>
      </c>
      <c r="F378" s="15" t="n">
        <f aca="false">IF(E377&lt;=0.005,0,E377*Compare!$B$4/12)</f>
        <v>0</v>
      </c>
      <c r="G378" s="15" t="n">
        <f aca="false">IF(E377&lt;=0.005,0,MIN(E377+F378,Compare!$B$9))</f>
        <v>0</v>
      </c>
      <c r="H378" s="15" t="n">
        <f aca="false">MAX(0,H377+I378-J378)</f>
        <v>0</v>
      </c>
      <c r="I378" s="15" t="n">
        <f aca="false">IF(H377&lt;=0.005,0,H377*Compare!$B$4/12)</f>
        <v>0</v>
      </c>
      <c r="J378" s="15" t="n">
        <f aca="false">IF(H377&lt;=0.005,0,MIN(H377+I378,Compare!$B$9+Compare!$B$8))</f>
        <v>0</v>
      </c>
    </row>
    <row r="379" customFormat="false" ht="15" hidden="false" customHeight="false" outlineLevel="0" collapsed="false">
      <c r="A379" s="3" t="n">
        <v>376</v>
      </c>
      <c r="B379" s="15" t="n">
        <f aca="false">MAX(0,B378+C379-D379)</f>
        <v>0</v>
      </c>
      <c r="C379" s="15" t="n">
        <f aca="false">IF(B378&lt;=0.005,0,B378*Compare!$B$4/12)</f>
        <v>0</v>
      </c>
      <c r="D379" s="15" t="n">
        <f aca="false">IF(B378&lt;=0.005,0,MIN(B378+C379,MAX(Compare!$B$7,B378*Compare!$B$5+IF(Compare!$B$6="Yes",C379,0))))</f>
        <v>0</v>
      </c>
      <c r="E379" s="15" t="n">
        <f aca="false">MAX(0,E378+F379-G379)</f>
        <v>0</v>
      </c>
      <c r="F379" s="15" t="n">
        <f aca="false">IF(E378&lt;=0.005,0,E378*Compare!$B$4/12)</f>
        <v>0</v>
      </c>
      <c r="G379" s="15" t="n">
        <f aca="false">IF(E378&lt;=0.005,0,MIN(E378+F379,Compare!$B$9))</f>
        <v>0</v>
      </c>
      <c r="H379" s="15" t="n">
        <f aca="false">MAX(0,H378+I379-J379)</f>
        <v>0</v>
      </c>
      <c r="I379" s="15" t="n">
        <f aca="false">IF(H378&lt;=0.005,0,H378*Compare!$B$4/12)</f>
        <v>0</v>
      </c>
      <c r="J379" s="15" t="n">
        <f aca="false">IF(H378&lt;=0.005,0,MIN(H378+I379,Compare!$B$9+Compare!$B$8))</f>
        <v>0</v>
      </c>
    </row>
    <row r="380" customFormat="false" ht="15" hidden="false" customHeight="false" outlineLevel="0" collapsed="false">
      <c r="A380" s="3" t="n">
        <v>377</v>
      </c>
      <c r="B380" s="15" t="n">
        <f aca="false">MAX(0,B379+C380-D380)</f>
        <v>0</v>
      </c>
      <c r="C380" s="15" t="n">
        <f aca="false">IF(B379&lt;=0.005,0,B379*Compare!$B$4/12)</f>
        <v>0</v>
      </c>
      <c r="D380" s="15" t="n">
        <f aca="false">IF(B379&lt;=0.005,0,MIN(B379+C380,MAX(Compare!$B$7,B379*Compare!$B$5+IF(Compare!$B$6="Yes",C380,0))))</f>
        <v>0</v>
      </c>
      <c r="E380" s="15" t="n">
        <f aca="false">MAX(0,E379+F380-G380)</f>
        <v>0</v>
      </c>
      <c r="F380" s="15" t="n">
        <f aca="false">IF(E379&lt;=0.005,0,E379*Compare!$B$4/12)</f>
        <v>0</v>
      </c>
      <c r="G380" s="15" t="n">
        <f aca="false">IF(E379&lt;=0.005,0,MIN(E379+F380,Compare!$B$9))</f>
        <v>0</v>
      </c>
      <c r="H380" s="15" t="n">
        <f aca="false">MAX(0,H379+I380-J380)</f>
        <v>0</v>
      </c>
      <c r="I380" s="15" t="n">
        <f aca="false">IF(H379&lt;=0.005,0,H379*Compare!$B$4/12)</f>
        <v>0</v>
      </c>
      <c r="J380" s="15" t="n">
        <f aca="false">IF(H379&lt;=0.005,0,MIN(H379+I380,Compare!$B$9+Compare!$B$8))</f>
        <v>0</v>
      </c>
    </row>
    <row r="381" customFormat="false" ht="15" hidden="false" customHeight="false" outlineLevel="0" collapsed="false">
      <c r="A381" s="3" t="n">
        <v>378</v>
      </c>
      <c r="B381" s="15" t="n">
        <f aca="false">MAX(0,B380+C381-D381)</f>
        <v>0</v>
      </c>
      <c r="C381" s="15" t="n">
        <f aca="false">IF(B380&lt;=0.005,0,B380*Compare!$B$4/12)</f>
        <v>0</v>
      </c>
      <c r="D381" s="15" t="n">
        <f aca="false">IF(B380&lt;=0.005,0,MIN(B380+C381,MAX(Compare!$B$7,B380*Compare!$B$5+IF(Compare!$B$6="Yes",C381,0))))</f>
        <v>0</v>
      </c>
      <c r="E381" s="15" t="n">
        <f aca="false">MAX(0,E380+F381-G381)</f>
        <v>0</v>
      </c>
      <c r="F381" s="15" t="n">
        <f aca="false">IF(E380&lt;=0.005,0,E380*Compare!$B$4/12)</f>
        <v>0</v>
      </c>
      <c r="G381" s="15" t="n">
        <f aca="false">IF(E380&lt;=0.005,0,MIN(E380+F381,Compare!$B$9))</f>
        <v>0</v>
      </c>
      <c r="H381" s="15" t="n">
        <f aca="false">MAX(0,H380+I381-J381)</f>
        <v>0</v>
      </c>
      <c r="I381" s="15" t="n">
        <f aca="false">IF(H380&lt;=0.005,0,H380*Compare!$B$4/12)</f>
        <v>0</v>
      </c>
      <c r="J381" s="15" t="n">
        <f aca="false">IF(H380&lt;=0.005,0,MIN(H380+I381,Compare!$B$9+Compare!$B$8))</f>
        <v>0</v>
      </c>
    </row>
    <row r="382" customFormat="false" ht="15" hidden="false" customHeight="false" outlineLevel="0" collapsed="false">
      <c r="A382" s="3" t="n">
        <v>379</v>
      </c>
      <c r="B382" s="15" t="n">
        <f aca="false">MAX(0,B381+C382-D382)</f>
        <v>0</v>
      </c>
      <c r="C382" s="15" t="n">
        <f aca="false">IF(B381&lt;=0.005,0,B381*Compare!$B$4/12)</f>
        <v>0</v>
      </c>
      <c r="D382" s="15" t="n">
        <f aca="false">IF(B381&lt;=0.005,0,MIN(B381+C382,MAX(Compare!$B$7,B381*Compare!$B$5+IF(Compare!$B$6="Yes",C382,0))))</f>
        <v>0</v>
      </c>
      <c r="E382" s="15" t="n">
        <f aca="false">MAX(0,E381+F382-G382)</f>
        <v>0</v>
      </c>
      <c r="F382" s="15" t="n">
        <f aca="false">IF(E381&lt;=0.005,0,E381*Compare!$B$4/12)</f>
        <v>0</v>
      </c>
      <c r="G382" s="15" t="n">
        <f aca="false">IF(E381&lt;=0.005,0,MIN(E381+F382,Compare!$B$9))</f>
        <v>0</v>
      </c>
      <c r="H382" s="15" t="n">
        <f aca="false">MAX(0,H381+I382-J382)</f>
        <v>0</v>
      </c>
      <c r="I382" s="15" t="n">
        <f aca="false">IF(H381&lt;=0.005,0,H381*Compare!$B$4/12)</f>
        <v>0</v>
      </c>
      <c r="J382" s="15" t="n">
        <f aca="false">IF(H381&lt;=0.005,0,MIN(H381+I382,Compare!$B$9+Compare!$B$8))</f>
        <v>0</v>
      </c>
    </row>
    <row r="383" customFormat="false" ht="15" hidden="false" customHeight="false" outlineLevel="0" collapsed="false">
      <c r="A383" s="3" t="n">
        <v>380</v>
      </c>
      <c r="B383" s="15" t="n">
        <f aca="false">MAX(0,B382+C383-D383)</f>
        <v>0</v>
      </c>
      <c r="C383" s="15" t="n">
        <f aca="false">IF(B382&lt;=0.005,0,B382*Compare!$B$4/12)</f>
        <v>0</v>
      </c>
      <c r="D383" s="15" t="n">
        <f aca="false">IF(B382&lt;=0.005,0,MIN(B382+C383,MAX(Compare!$B$7,B382*Compare!$B$5+IF(Compare!$B$6="Yes",C383,0))))</f>
        <v>0</v>
      </c>
      <c r="E383" s="15" t="n">
        <f aca="false">MAX(0,E382+F383-G383)</f>
        <v>0</v>
      </c>
      <c r="F383" s="15" t="n">
        <f aca="false">IF(E382&lt;=0.005,0,E382*Compare!$B$4/12)</f>
        <v>0</v>
      </c>
      <c r="G383" s="15" t="n">
        <f aca="false">IF(E382&lt;=0.005,0,MIN(E382+F383,Compare!$B$9))</f>
        <v>0</v>
      </c>
      <c r="H383" s="15" t="n">
        <f aca="false">MAX(0,H382+I383-J383)</f>
        <v>0</v>
      </c>
      <c r="I383" s="15" t="n">
        <f aca="false">IF(H382&lt;=0.005,0,H382*Compare!$B$4/12)</f>
        <v>0</v>
      </c>
      <c r="J383" s="15" t="n">
        <f aca="false">IF(H382&lt;=0.005,0,MIN(H382+I383,Compare!$B$9+Compare!$B$8))</f>
        <v>0</v>
      </c>
    </row>
    <row r="384" customFormat="false" ht="15" hidden="false" customHeight="false" outlineLevel="0" collapsed="false">
      <c r="A384" s="3" t="n">
        <v>381</v>
      </c>
      <c r="B384" s="15" t="n">
        <f aca="false">MAX(0,B383+C384-D384)</f>
        <v>0</v>
      </c>
      <c r="C384" s="15" t="n">
        <f aca="false">IF(B383&lt;=0.005,0,B383*Compare!$B$4/12)</f>
        <v>0</v>
      </c>
      <c r="D384" s="15" t="n">
        <f aca="false">IF(B383&lt;=0.005,0,MIN(B383+C384,MAX(Compare!$B$7,B383*Compare!$B$5+IF(Compare!$B$6="Yes",C384,0))))</f>
        <v>0</v>
      </c>
      <c r="E384" s="15" t="n">
        <f aca="false">MAX(0,E383+F384-G384)</f>
        <v>0</v>
      </c>
      <c r="F384" s="15" t="n">
        <f aca="false">IF(E383&lt;=0.005,0,E383*Compare!$B$4/12)</f>
        <v>0</v>
      </c>
      <c r="G384" s="15" t="n">
        <f aca="false">IF(E383&lt;=0.005,0,MIN(E383+F384,Compare!$B$9))</f>
        <v>0</v>
      </c>
      <c r="H384" s="15" t="n">
        <f aca="false">MAX(0,H383+I384-J384)</f>
        <v>0</v>
      </c>
      <c r="I384" s="15" t="n">
        <f aca="false">IF(H383&lt;=0.005,0,H383*Compare!$B$4/12)</f>
        <v>0</v>
      </c>
      <c r="J384" s="15" t="n">
        <f aca="false">IF(H383&lt;=0.005,0,MIN(H383+I384,Compare!$B$9+Compare!$B$8))</f>
        <v>0</v>
      </c>
    </row>
    <row r="385" customFormat="false" ht="15" hidden="false" customHeight="false" outlineLevel="0" collapsed="false">
      <c r="A385" s="3" t="n">
        <v>382</v>
      </c>
      <c r="B385" s="15" t="n">
        <f aca="false">MAX(0,B384+C385-D385)</f>
        <v>0</v>
      </c>
      <c r="C385" s="15" t="n">
        <f aca="false">IF(B384&lt;=0.005,0,B384*Compare!$B$4/12)</f>
        <v>0</v>
      </c>
      <c r="D385" s="15" t="n">
        <f aca="false">IF(B384&lt;=0.005,0,MIN(B384+C385,MAX(Compare!$B$7,B384*Compare!$B$5+IF(Compare!$B$6="Yes",C385,0))))</f>
        <v>0</v>
      </c>
      <c r="E385" s="15" t="n">
        <f aca="false">MAX(0,E384+F385-G385)</f>
        <v>0</v>
      </c>
      <c r="F385" s="15" t="n">
        <f aca="false">IF(E384&lt;=0.005,0,E384*Compare!$B$4/12)</f>
        <v>0</v>
      </c>
      <c r="G385" s="15" t="n">
        <f aca="false">IF(E384&lt;=0.005,0,MIN(E384+F385,Compare!$B$9))</f>
        <v>0</v>
      </c>
      <c r="H385" s="15" t="n">
        <f aca="false">MAX(0,H384+I385-J385)</f>
        <v>0</v>
      </c>
      <c r="I385" s="15" t="n">
        <f aca="false">IF(H384&lt;=0.005,0,H384*Compare!$B$4/12)</f>
        <v>0</v>
      </c>
      <c r="J385" s="15" t="n">
        <f aca="false">IF(H384&lt;=0.005,0,MIN(H384+I385,Compare!$B$9+Compare!$B$8))</f>
        <v>0</v>
      </c>
    </row>
    <row r="386" customFormat="false" ht="15" hidden="false" customHeight="false" outlineLevel="0" collapsed="false">
      <c r="A386" s="3" t="n">
        <v>383</v>
      </c>
      <c r="B386" s="15" t="n">
        <f aca="false">MAX(0,B385+C386-D386)</f>
        <v>0</v>
      </c>
      <c r="C386" s="15" t="n">
        <f aca="false">IF(B385&lt;=0.005,0,B385*Compare!$B$4/12)</f>
        <v>0</v>
      </c>
      <c r="D386" s="15" t="n">
        <f aca="false">IF(B385&lt;=0.005,0,MIN(B385+C386,MAX(Compare!$B$7,B385*Compare!$B$5+IF(Compare!$B$6="Yes",C386,0))))</f>
        <v>0</v>
      </c>
      <c r="E386" s="15" t="n">
        <f aca="false">MAX(0,E385+F386-G386)</f>
        <v>0</v>
      </c>
      <c r="F386" s="15" t="n">
        <f aca="false">IF(E385&lt;=0.005,0,E385*Compare!$B$4/12)</f>
        <v>0</v>
      </c>
      <c r="G386" s="15" t="n">
        <f aca="false">IF(E385&lt;=0.005,0,MIN(E385+F386,Compare!$B$9))</f>
        <v>0</v>
      </c>
      <c r="H386" s="15" t="n">
        <f aca="false">MAX(0,H385+I386-J386)</f>
        <v>0</v>
      </c>
      <c r="I386" s="15" t="n">
        <f aca="false">IF(H385&lt;=0.005,0,H385*Compare!$B$4/12)</f>
        <v>0</v>
      </c>
      <c r="J386" s="15" t="n">
        <f aca="false">IF(H385&lt;=0.005,0,MIN(H385+I386,Compare!$B$9+Compare!$B$8))</f>
        <v>0</v>
      </c>
    </row>
    <row r="387" customFormat="false" ht="15" hidden="false" customHeight="false" outlineLevel="0" collapsed="false">
      <c r="A387" s="3" t="n">
        <v>384</v>
      </c>
      <c r="B387" s="15" t="n">
        <f aca="false">MAX(0,B386+C387-D387)</f>
        <v>0</v>
      </c>
      <c r="C387" s="15" t="n">
        <f aca="false">IF(B386&lt;=0.005,0,B386*Compare!$B$4/12)</f>
        <v>0</v>
      </c>
      <c r="D387" s="15" t="n">
        <f aca="false">IF(B386&lt;=0.005,0,MIN(B386+C387,MAX(Compare!$B$7,B386*Compare!$B$5+IF(Compare!$B$6="Yes",C387,0))))</f>
        <v>0</v>
      </c>
      <c r="E387" s="15" t="n">
        <f aca="false">MAX(0,E386+F387-G387)</f>
        <v>0</v>
      </c>
      <c r="F387" s="15" t="n">
        <f aca="false">IF(E386&lt;=0.005,0,E386*Compare!$B$4/12)</f>
        <v>0</v>
      </c>
      <c r="G387" s="15" t="n">
        <f aca="false">IF(E386&lt;=0.005,0,MIN(E386+F387,Compare!$B$9))</f>
        <v>0</v>
      </c>
      <c r="H387" s="15" t="n">
        <f aca="false">MAX(0,H386+I387-J387)</f>
        <v>0</v>
      </c>
      <c r="I387" s="15" t="n">
        <f aca="false">IF(H386&lt;=0.005,0,H386*Compare!$B$4/12)</f>
        <v>0</v>
      </c>
      <c r="J387" s="15" t="n">
        <f aca="false">IF(H386&lt;=0.005,0,MIN(H386+I387,Compare!$B$9+Compare!$B$8))</f>
        <v>0</v>
      </c>
    </row>
    <row r="388" customFormat="false" ht="15" hidden="false" customHeight="false" outlineLevel="0" collapsed="false">
      <c r="A388" s="3" t="n">
        <v>385</v>
      </c>
      <c r="B388" s="15" t="n">
        <f aca="false">MAX(0,B387+C388-D388)</f>
        <v>0</v>
      </c>
      <c r="C388" s="15" t="n">
        <f aca="false">IF(B387&lt;=0.005,0,B387*Compare!$B$4/12)</f>
        <v>0</v>
      </c>
      <c r="D388" s="15" t="n">
        <f aca="false">IF(B387&lt;=0.005,0,MIN(B387+C388,MAX(Compare!$B$7,B387*Compare!$B$5+IF(Compare!$B$6="Yes",C388,0))))</f>
        <v>0</v>
      </c>
      <c r="E388" s="15" t="n">
        <f aca="false">MAX(0,E387+F388-G388)</f>
        <v>0</v>
      </c>
      <c r="F388" s="15" t="n">
        <f aca="false">IF(E387&lt;=0.005,0,E387*Compare!$B$4/12)</f>
        <v>0</v>
      </c>
      <c r="G388" s="15" t="n">
        <f aca="false">IF(E387&lt;=0.005,0,MIN(E387+F388,Compare!$B$9))</f>
        <v>0</v>
      </c>
      <c r="H388" s="15" t="n">
        <f aca="false">MAX(0,H387+I388-J388)</f>
        <v>0</v>
      </c>
      <c r="I388" s="15" t="n">
        <f aca="false">IF(H387&lt;=0.005,0,H387*Compare!$B$4/12)</f>
        <v>0</v>
      </c>
      <c r="J388" s="15" t="n">
        <f aca="false">IF(H387&lt;=0.005,0,MIN(H387+I388,Compare!$B$9+Compare!$B$8))</f>
        <v>0</v>
      </c>
    </row>
    <row r="389" customFormat="false" ht="15" hidden="false" customHeight="false" outlineLevel="0" collapsed="false">
      <c r="A389" s="3" t="n">
        <v>386</v>
      </c>
      <c r="B389" s="15" t="n">
        <f aca="false">MAX(0,B388+C389-D389)</f>
        <v>0</v>
      </c>
      <c r="C389" s="15" t="n">
        <f aca="false">IF(B388&lt;=0.005,0,B388*Compare!$B$4/12)</f>
        <v>0</v>
      </c>
      <c r="D389" s="15" t="n">
        <f aca="false">IF(B388&lt;=0.005,0,MIN(B388+C389,MAX(Compare!$B$7,B388*Compare!$B$5+IF(Compare!$B$6="Yes",C389,0))))</f>
        <v>0</v>
      </c>
      <c r="E389" s="15" t="n">
        <f aca="false">MAX(0,E388+F389-G389)</f>
        <v>0</v>
      </c>
      <c r="F389" s="15" t="n">
        <f aca="false">IF(E388&lt;=0.005,0,E388*Compare!$B$4/12)</f>
        <v>0</v>
      </c>
      <c r="G389" s="15" t="n">
        <f aca="false">IF(E388&lt;=0.005,0,MIN(E388+F389,Compare!$B$9))</f>
        <v>0</v>
      </c>
      <c r="H389" s="15" t="n">
        <f aca="false">MAX(0,H388+I389-J389)</f>
        <v>0</v>
      </c>
      <c r="I389" s="15" t="n">
        <f aca="false">IF(H388&lt;=0.005,0,H388*Compare!$B$4/12)</f>
        <v>0</v>
      </c>
      <c r="J389" s="15" t="n">
        <f aca="false">IF(H388&lt;=0.005,0,MIN(H388+I389,Compare!$B$9+Compare!$B$8))</f>
        <v>0</v>
      </c>
    </row>
    <row r="390" customFormat="false" ht="15" hidden="false" customHeight="false" outlineLevel="0" collapsed="false">
      <c r="A390" s="3" t="n">
        <v>387</v>
      </c>
      <c r="B390" s="15" t="n">
        <f aca="false">MAX(0,B389+C390-D390)</f>
        <v>0</v>
      </c>
      <c r="C390" s="15" t="n">
        <f aca="false">IF(B389&lt;=0.005,0,B389*Compare!$B$4/12)</f>
        <v>0</v>
      </c>
      <c r="D390" s="15" t="n">
        <f aca="false">IF(B389&lt;=0.005,0,MIN(B389+C390,MAX(Compare!$B$7,B389*Compare!$B$5+IF(Compare!$B$6="Yes",C390,0))))</f>
        <v>0</v>
      </c>
      <c r="E390" s="15" t="n">
        <f aca="false">MAX(0,E389+F390-G390)</f>
        <v>0</v>
      </c>
      <c r="F390" s="15" t="n">
        <f aca="false">IF(E389&lt;=0.005,0,E389*Compare!$B$4/12)</f>
        <v>0</v>
      </c>
      <c r="G390" s="15" t="n">
        <f aca="false">IF(E389&lt;=0.005,0,MIN(E389+F390,Compare!$B$9))</f>
        <v>0</v>
      </c>
      <c r="H390" s="15" t="n">
        <f aca="false">MAX(0,H389+I390-J390)</f>
        <v>0</v>
      </c>
      <c r="I390" s="15" t="n">
        <f aca="false">IF(H389&lt;=0.005,0,H389*Compare!$B$4/12)</f>
        <v>0</v>
      </c>
      <c r="J390" s="15" t="n">
        <f aca="false">IF(H389&lt;=0.005,0,MIN(H389+I390,Compare!$B$9+Compare!$B$8))</f>
        <v>0</v>
      </c>
    </row>
    <row r="391" customFormat="false" ht="15" hidden="false" customHeight="false" outlineLevel="0" collapsed="false">
      <c r="A391" s="3" t="n">
        <v>388</v>
      </c>
      <c r="B391" s="15" t="n">
        <f aca="false">MAX(0,B390+C391-D391)</f>
        <v>0</v>
      </c>
      <c r="C391" s="15" t="n">
        <f aca="false">IF(B390&lt;=0.005,0,B390*Compare!$B$4/12)</f>
        <v>0</v>
      </c>
      <c r="D391" s="15" t="n">
        <f aca="false">IF(B390&lt;=0.005,0,MIN(B390+C391,MAX(Compare!$B$7,B390*Compare!$B$5+IF(Compare!$B$6="Yes",C391,0))))</f>
        <v>0</v>
      </c>
      <c r="E391" s="15" t="n">
        <f aca="false">MAX(0,E390+F391-G391)</f>
        <v>0</v>
      </c>
      <c r="F391" s="15" t="n">
        <f aca="false">IF(E390&lt;=0.005,0,E390*Compare!$B$4/12)</f>
        <v>0</v>
      </c>
      <c r="G391" s="15" t="n">
        <f aca="false">IF(E390&lt;=0.005,0,MIN(E390+F391,Compare!$B$9))</f>
        <v>0</v>
      </c>
      <c r="H391" s="15" t="n">
        <f aca="false">MAX(0,H390+I391-J391)</f>
        <v>0</v>
      </c>
      <c r="I391" s="15" t="n">
        <f aca="false">IF(H390&lt;=0.005,0,H390*Compare!$B$4/12)</f>
        <v>0</v>
      </c>
      <c r="J391" s="15" t="n">
        <f aca="false">IF(H390&lt;=0.005,0,MIN(H390+I391,Compare!$B$9+Compare!$B$8))</f>
        <v>0</v>
      </c>
    </row>
    <row r="392" customFormat="false" ht="15" hidden="false" customHeight="false" outlineLevel="0" collapsed="false">
      <c r="A392" s="3" t="n">
        <v>389</v>
      </c>
      <c r="B392" s="15" t="n">
        <f aca="false">MAX(0,B391+C392-D392)</f>
        <v>0</v>
      </c>
      <c r="C392" s="15" t="n">
        <f aca="false">IF(B391&lt;=0.005,0,B391*Compare!$B$4/12)</f>
        <v>0</v>
      </c>
      <c r="D392" s="15" t="n">
        <f aca="false">IF(B391&lt;=0.005,0,MIN(B391+C392,MAX(Compare!$B$7,B391*Compare!$B$5+IF(Compare!$B$6="Yes",C392,0))))</f>
        <v>0</v>
      </c>
      <c r="E392" s="15" t="n">
        <f aca="false">MAX(0,E391+F392-G392)</f>
        <v>0</v>
      </c>
      <c r="F392" s="15" t="n">
        <f aca="false">IF(E391&lt;=0.005,0,E391*Compare!$B$4/12)</f>
        <v>0</v>
      </c>
      <c r="G392" s="15" t="n">
        <f aca="false">IF(E391&lt;=0.005,0,MIN(E391+F392,Compare!$B$9))</f>
        <v>0</v>
      </c>
      <c r="H392" s="15" t="n">
        <f aca="false">MAX(0,H391+I392-J392)</f>
        <v>0</v>
      </c>
      <c r="I392" s="15" t="n">
        <f aca="false">IF(H391&lt;=0.005,0,H391*Compare!$B$4/12)</f>
        <v>0</v>
      </c>
      <c r="J392" s="15" t="n">
        <f aca="false">IF(H391&lt;=0.005,0,MIN(H391+I392,Compare!$B$9+Compare!$B$8))</f>
        <v>0</v>
      </c>
    </row>
    <row r="393" customFormat="false" ht="15" hidden="false" customHeight="false" outlineLevel="0" collapsed="false">
      <c r="A393" s="3" t="n">
        <v>390</v>
      </c>
      <c r="B393" s="15" t="n">
        <f aca="false">MAX(0,B392+C393-D393)</f>
        <v>0</v>
      </c>
      <c r="C393" s="15" t="n">
        <f aca="false">IF(B392&lt;=0.005,0,B392*Compare!$B$4/12)</f>
        <v>0</v>
      </c>
      <c r="D393" s="15" t="n">
        <f aca="false">IF(B392&lt;=0.005,0,MIN(B392+C393,MAX(Compare!$B$7,B392*Compare!$B$5+IF(Compare!$B$6="Yes",C393,0))))</f>
        <v>0</v>
      </c>
      <c r="E393" s="15" t="n">
        <f aca="false">MAX(0,E392+F393-G393)</f>
        <v>0</v>
      </c>
      <c r="F393" s="15" t="n">
        <f aca="false">IF(E392&lt;=0.005,0,E392*Compare!$B$4/12)</f>
        <v>0</v>
      </c>
      <c r="G393" s="15" t="n">
        <f aca="false">IF(E392&lt;=0.005,0,MIN(E392+F393,Compare!$B$9))</f>
        <v>0</v>
      </c>
      <c r="H393" s="15" t="n">
        <f aca="false">MAX(0,H392+I393-J393)</f>
        <v>0</v>
      </c>
      <c r="I393" s="15" t="n">
        <f aca="false">IF(H392&lt;=0.005,0,H392*Compare!$B$4/12)</f>
        <v>0</v>
      </c>
      <c r="J393" s="15" t="n">
        <f aca="false">IF(H392&lt;=0.005,0,MIN(H392+I393,Compare!$B$9+Compare!$B$8))</f>
        <v>0</v>
      </c>
    </row>
    <row r="394" customFormat="false" ht="15" hidden="false" customHeight="false" outlineLevel="0" collapsed="false">
      <c r="A394" s="3" t="n">
        <v>391</v>
      </c>
      <c r="B394" s="15" t="n">
        <f aca="false">MAX(0,B393+C394-D394)</f>
        <v>0</v>
      </c>
      <c r="C394" s="15" t="n">
        <f aca="false">IF(B393&lt;=0.005,0,B393*Compare!$B$4/12)</f>
        <v>0</v>
      </c>
      <c r="D394" s="15" t="n">
        <f aca="false">IF(B393&lt;=0.005,0,MIN(B393+C394,MAX(Compare!$B$7,B393*Compare!$B$5+IF(Compare!$B$6="Yes",C394,0))))</f>
        <v>0</v>
      </c>
      <c r="E394" s="15" t="n">
        <f aca="false">MAX(0,E393+F394-G394)</f>
        <v>0</v>
      </c>
      <c r="F394" s="15" t="n">
        <f aca="false">IF(E393&lt;=0.005,0,E393*Compare!$B$4/12)</f>
        <v>0</v>
      </c>
      <c r="G394" s="15" t="n">
        <f aca="false">IF(E393&lt;=0.005,0,MIN(E393+F394,Compare!$B$9))</f>
        <v>0</v>
      </c>
      <c r="H394" s="15" t="n">
        <f aca="false">MAX(0,H393+I394-J394)</f>
        <v>0</v>
      </c>
      <c r="I394" s="15" t="n">
        <f aca="false">IF(H393&lt;=0.005,0,H393*Compare!$B$4/12)</f>
        <v>0</v>
      </c>
      <c r="J394" s="15" t="n">
        <f aca="false">IF(H393&lt;=0.005,0,MIN(H393+I394,Compare!$B$9+Compare!$B$8))</f>
        <v>0</v>
      </c>
    </row>
    <row r="395" customFormat="false" ht="15" hidden="false" customHeight="false" outlineLevel="0" collapsed="false">
      <c r="A395" s="3" t="n">
        <v>392</v>
      </c>
      <c r="B395" s="15" t="n">
        <f aca="false">MAX(0,B394+C395-D395)</f>
        <v>0</v>
      </c>
      <c r="C395" s="15" t="n">
        <f aca="false">IF(B394&lt;=0.005,0,B394*Compare!$B$4/12)</f>
        <v>0</v>
      </c>
      <c r="D395" s="15" t="n">
        <f aca="false">IF(B394&lt;=0.005,0,MIN(B394+C395,MAX(Compare!$B$7,B394*Compare!$B$5+IF(Compare!$B$6="Yes",C395,0))))</f>
        <v>0</v>
      </c>
      <c r="E395" s="15" t="n">
        <f aca="false">MAX(0,E394+F395-G395)</f>
        <v>0</v>
      </c>
      <c r="F395" s="15" t="n">
        <f aca="false">IF(E394&lt;=0.005,0,E394*Compare!$B$4/12)</f>
        <v>0</v>
      </c>
      <c r="G395" s="15" t="n">
        <f aca="false">IF(E394&lt;=0.005,0,MIN(E394+F395,Compare!$B$9))</f>
        <v>0</v>
      </c>
      <c r="H395" s="15" t="n">
        <f aca="false">MAX(0,H394+I395-J395)</f>
        <v>0</v>
      </c>
      <c r="I395" s="15" t="n">
        <f aca="false">IF(H394&lt;=0.005,0,H394*Compare!$B$4/12)</f>
        <v>0</v>
      </c>
      <c r="J395" s="15" t="n">
        <f aca="false">IF(H394&lt;=0.005,0,MIN(H394+I395,Compare!$B$9+Compare!$B$8))</f>
        <v>0</v>
      </c>
    </row>
    <row r="396" customFormat="false" ht="15" hidden="false" customHeight="false" outlineLevel="0" collapsed="false">
      <c r="A396" s="3" t="n">
        <v>393</v>
      </c>
      <c r="B396" s="15" t="n">
        <f aca="false">MAX(0,B395+C396-D396)</f>
        <v>0</v>
      </c>
      <c r="C396" s="15" t="n">
        <f aca="false">IF(B395&lt;=0.005,0,B395*Compare!$B$4/12)</f>
        <v>0</v>
      </c>
      <c r="D396" s="15" t="n">
        <f aca="false">IF(B395&lt;=0.005,0,MIN(B395+C396,MAX(Compare!$B$7,B395*Compare!$B$5+IF(Compare!$B$6="Yes",C396,0))))</f>
        <v>0</v>
      </c>
      <c r="E396" s="15" t="n">
        <f aca="false">MAX(0,E395+F396-G396)</f>
        <v>0</v>
      </c>
      <c r="F396" s="15" t="n">
        <f aca="false">IF(E395&lt;=0.005,0,E395*Compare!$B$4/12)</f>
        <v>0</v>
      </c>
      <c r="G396" s="15" t="n">
        <f aca="false">IF(E395&lt;=0.005,0,MIN(E395+F396,Compare!$B$9))</f>
        <v>0</v>
      </c>
      <c r="H396" s="15" t="n">
        <f aca="false">MAX(0,H395+I396-J396)</f>
        <v>0</v>
      </c>
      <c r="I396" s="15" t="n">
        <f aca="false">IF(H395&lt;=0.005,0,H395*Compare!$B$4/12)</f>
        <v>0</v>
      </c>
      <c r="J396" s="15" t="n">
        <f aca="false">IF(H395&lt;=0.005,0,MIN(H395+I396,Compare!$B$9+Compare!$B$8))</f>
        <v>0</v>
      </c>
    </row>
    <row r="397" customFormat="false" ht="15" hidden="false" customHeight="false" outlineLevel="0" collapsed="false">
      <c r="A397" s="3" t="n">
        <v>394</v>
      </c>
      <c r="B397" s="15" t="n">
        <f aca="false">MAX(0,B396+C397-D397)</f>
        <v>0</v>
      </c>
      <c r="C397" s="15" t="n">
        <f aca="false">IF(B396&lt;=0.005,0,B396*Compare!$B$4/12)</f>
        <v>0</v>
      </c>
      <c r="D397" s="15" t="n">
        <f aca="false">IF(B396&lt;=0.005,0,MIN(B396+C397,MAX(Compare!$B$7,B396*Compare!$B$5+IF(Compare!$B$6="Yes",C397,0))))</f>
        <v>0</v>
      </c>
      <c r="E397" s="15" t="n">
        <f aca="false">MAX(0,E396+F397-G397)</f>
        <v>0</v>
      </c>
      <c r="F397" s="15" t="n">
        <f aca="false">IF(E396&lt;=0.005,0,E396*Compare!$B$4/12)</f>
        <v>0</v>
      </c>
      <c r="G397" s="15" t="n">
        <f aca="false">IF(E396&lt;=0.005,0,MIN(E396+F397,Compare!$B$9))</f>
        <v>0</v>
      </c>
      <c r="H397" s="15" t="n">
        <f aca="false">MAX(0,H396+I397-J397)</f>
        <v>0</v>
      </c>
      <c r="I397" s="15" t="n">
        <f aca="false">IF(H396&lt;=0.005,0,H396*Compare!$B$4/12)</f>
        <v>0</v>
      </c>
      <c r="J397" s="15" t="n">
        <f aca="false">IF(H396&lt;=0.005,0,MIN(H396+I397,Compare!$B$9+Compare!$B$8))</f>
        <v>0</v>
      </c>
    </row>
    <row r="398" customFormat="false" ht="15" hidden="false" customHeight="false" outlineLevel="0" collapsed="false">
      <c r="A398" s="3" t="n">
        <v>395</v>
      </c>
      <c r="B398" s="15" t="n">
        <f aca="false">MAX(0,B397+C398-D398)</f>
        <v>0</v>
      </c>
      <c r="C398" s="15" t="n">
        <f aca="false">IF(B397&lt;=0.005,0,B397*Compare!$B$4/12)</f>
        <v>0</v>
      </c>
      <c r="D398" s="15" t="n">
        <f aca="false">IF(B397&lt;=0.005,0,MIN(B397+C398,MAX(Compare!$B$7,B397*Compare!$B$5+IF(Compare!$B$6="Yes",C398,0))))</f>
        <v>0</v>
      </c>
      <c r="E398" s="15" t="n">
        <f aca="false">MAX(0,E397+F398-G398)</f>
        <v>0</v>
      </c>
      <c r="F398" s="15" t="n">
        <f aca="false">IF(E397&lt;=0.005,0,E397*Compare!$B$4/12)</f>
        <v>0</v>
      </c>
      <c r="G398" s="15" t="n">
        <f aca="false">IF(E397&lt;=0.005,0,MIN(E397+F398,Compare!$B$9))</f>
        <v>0</v>
      </c>
      <c r="H398" s="15" t="n">
        <f aca="false">MAX(0,H397+I398-J398)</f>
        <v>0</v>
      </c>
      <c r="I398" s="15" t="n">
        <f aca="false">IF(H397&lt;=0.005,0,H397*Compare!$B$4/12)</f>
        <v>0</v>
      </c>
      <c r="J398" s="15" t="n">
        <f aca="false">IF(H397&lt;=0.005,0,MIN(H397+I398,Compare!$B$9+Compare!$B$8))</f>
        <v>0</v>
      </c>
    </row>
    <row r="399" customFormat="false" ht="15" hidden="false" customHeight="false" outlineLevel="0" collapsed="false">
      <c r="A399" s="3" t="n">
        <v>396</v>
      </c>
      <c r="B399" s="15" t="n">
        <f aca="false">MAX(0,B398+C399-D399)</f>
        <v>0</v>
      </c>
      <c r="C399" s="15" t="n">
        <f aca="false">IF(B398&lt;=0.005,0,B398*Compare!$B$4/12)</f>
        <v>0</v>
      </c>
      <c r="D399" s="15" t="n">
        <f aca="false">IF(B398&lt;=0.005,0,MIN(B398+C399,MAX(Compare!$B$7,B398*Compare!$B$5+IF(Compare!$B$6="Yes",C399,0))))</f>
        <v>0</v>
      </c>
      <c r="E399" s="15" t="n">
        <f aca="false">MAX(0,E398+F399-G399)</f>
        <v>0</v>
      </c>
      <c r="F399" s="15" t="n">
        <f aca="false">IF(E398&lt;=0.005,0,E398*Compare!$B$4/12)</f>
        <v>0</v>
      </c>
      <c r="G399" s="15" t="n">
        <f aca="false">IF(E398&lt;=0.005,0,MIN(E398+F399,Compare!$B$9))</f>
        <v>0</v>
      </c>
      <c r="H399" s="15" t="n">
        <f aca="false">MAX(0,H398+I399-J399)</f>
        <v>0</v>
      </c>
      <c r="I399" s="15" t="n">
        <f aca="false">IF(H398&lt;=0.005,0,H398*Compare!$B$4/12)</f>
        <v>0</v>
      </c>
      <c r="J399" s="15" t="n">
        <f aca="false">IF(H398&lt;=0.005,0,MIN(H398+I399,Compare!$B$9+Compare!$B$8))</f>
        <v>0</v>
      </c>
    </row>
    <row r="400" customFormat="false" ht="15" hidden="false" customHeight="false" outlineLevel="0" collapsed="false">
      <c r="A400" s="3" t="n">
        <v>397</v>
      </c>
      <c r="B400" s="15" t="n">
        <f aca="false">MAX(0,B399+C400-D400)</f>
        <v>0</v>
      </c>
      <c r="C400" s="15" t="n">
        <f aca="false">IF(B399&lt;=0.005,0,B399*Compare!$B$4/12)</f>
        <v>0</v>
      </c>
      <c r="D400" s="15" t="n">
        <f aca="false">IF(B399&lt;=0.005,0,MIN(B399+C400,MAX(Compare!$B$7,B399*Compare!$B$5+IF(Compare!$B$6="Yes",C400,0))))</f>
        <v>0</v>
      </c>
      <c r="E400" s="15" t="n">
        <f aca="false">MAX(0,E399+F400-G400)</f>
        <v>0</v>
      </c>
      <c r="F400" s="15" t="n">
        <f aca="false">IF(E399&lt;=0.005,0,E399*Compare!$B$4/12)</f>
        <v>0</v>
      </c>
      <c r="G400" s="15" t="n">
        <f aca="false">IF(E399&lt;=0.005,0,MIN(E399+F400,Compare!$B$9))</f>
        <v>0</v>
      </c>
      <c r="H400" s="15" t="n">
        <f aca="false">MAX(0,H399+I400-J400)</f>
        <v>0</v>
      </c>
      <c r="I400" s="15" t="n">
        <f aca="false">IF(H399&lt;=0.005,0,H399*Compare!$B$4/12)</f>
        <v>0</v>
      </c>
      <c r="J400" s="15" t="n">
        <f aca="false">IF(H399&lt;=0.005,0,MIN(H399+I400,Compare!$B$9+Compare!$B$8))</f>
        <v>0</v>
      </c>
    </row>
    <row r="401" customFormat="false" ht="15" hidden="false" customHeight="false" outlineLevel="0" collapsed="false">
      <c r="A401" s="3" t="n">
        <v>398</v>
      </c>
      <c r="B401" s="15" t="n">
        <f aca="false">MAX(0,B400+C401-D401)</f>
        <v>0</v>
      </c>
      <c r="C401" s="15" t="n">
        <f aca="false">IF(B400&lt;=0.005,0,B400*Compare!$B$4/12)</f>
        <v>0</v>
      </c>
      <c r="D401" s="15" t="n">
        <f aca="false">IF(B400&lt;=0.005,0,MIN(B400+C401,MAX(Compare!$B$7,B400*Compare!$B$5+IF(Compare!$B$6="Yes",C401,0))))</f>
        <v>0</v>
      </c>
      <c r="E401" s="15" t="n">
        <f aca="false">MAX(0,E400+F401-G401)</f>
        <v>0</v>
      </c>
      <c r="F401" s="15" t="n">
        <f aca="false">IF(E400&lt;=0.005,0,E400*Compare!$B$4/12)</f>
        <v>0</v>
      </c>
      <c r="G401" s="15" t="n">
        <f aca="false">IF(E400&lt;=0.005,0,MIN(E400+F401,Compare!$B$9))</f>
        <v>0</v>
      </c>
      <c r="H401" s="15" t="n">
        <f aca="false">MAX(0,H400+I401-J401)</f>
        <v>0</v>
      </c>
      <c r="I401" s="15" t="n">
        <f aca="false">IF(H400&lt;=0.005,0,H400*Compare!$B$4/12)</f>
        <v>0</v>
      </c>
      <c r="J401" s="15" t="n">
        <f aca="false">IF(H400&lt;=0.005,0,MIN(H400+I401,Compare!$B$9+Compare!$B$8))</f>
        <v>0</v>
      </c>
    </row>
    <row r="402" customFormat="false" ht="15" hidden="false" customHeight="false" outlineLevel="0" collapsed="false">
      <c r="A402" s="3" t="n">
        <v>399</v>
      </c>
      <c r="B402" s="15" t="n">
        <f aca="false">MAX(0,B401+C402-D402)</f>
        <v>0</v>
      </c>
      <c r="C402" s="15" t="n">
        <f aca="false">IF(B401&lt;=0.005,0,B401*Compare!$B$4/12)</f>
        <v>0</v>
      </c>
      <c r="D402" s="15" t="n">
        <f aca="false">IF(B401&lt;=0.005,0,MIN(B401+C402,MAX(Compare!$B$7,B401*Compare!$B$5+IF(Compare!$B$6="Yes",C402,0))))</f>
        <v>0</v>
      </c>
      <c r="E402" s="15" t="n">
        <f aca="false">MAX(0,E401+F402-G402)</f>
        <v>0</v>
      </c>
      <c r="F402" s="15" t="n">
        <f aca="false">IF(E401&lt;=0.005,0,E401*Compare!$B$4/12)</f>
        <v>0</v>
      </c>
      <c r="G402" s="15" t="n">
        <f aca="false">IF(E401&lt;=0.005,0,MIN(E401+F402,Compare!$B$9))</f>
        <v>0</v>
      </c>
      <c r="H402" s="15" t="n">
        <f aca="false">MAX(0,H401+I402-J402)</f>
        <v>0</v>
      </c>
      <c r="I402" s="15" t="n">
        <f aca="false">IF(H401&lt;=0.005,0,H401*Compare!$B$4/12)</f>
        <v>0</v>
      </c>
      <c r="J402" s="15" t="n">
        <f aca="false">IF(H401&lt;=0.005,0,MIN(H401+I402,Compare!$B$9+Compare!$B$8))</f>
        <v>0</v>
      </c>
    </row>
    <row r="403" customFormat="false" ht="15" hidden="false" customHeight="false" outlineLevel="0" collapsed="false">
      <c r="A403" s="3" t="n">
        <v>400</v>
      </c>
      <c r="B403" s="15" t="n">
        <f aca="false">MAX(0,B402+C403-D403)</f>
        <v>0</v>
      </c>
      <c r="C403" s="15" t="n">
        <f aca="false">IF(B402&lt;=0.005,0,B402*Compare!$B$4/12)</f>
        <v>0</v>
      </c>
      <c r="D403" s="15" t="n">
        <f aca="false">IF(B402&lt;=0.005,0,MIN(B402+C403,MAX(Compare!$B$7,B402*Compare!$B$5+IF(Compare!$B$6="Yes",C403,0))))</f>
        <v>0</v>
      </c>
      <c r="E403" s="15" t="n">
        <f aca="false">MAX(0,E402+F403-G403)</f>
        <v>0</v>
      </c>
      <c r="F403" s="15" t="n">
        <f aca="false">IF(E402&lt;=0.005,0,E402*Compare!$B$4/12)</f>
        <v>0</v>
      </c>
      <c r="G403" s="15" t="n">
        <f aca="false">IF(E402&lt;=0.005,0,MIN(E402+F403,Compare!$B$9))</f>
        <v>0</v>
      </c>
      <c r="H403" s="15" t="n">
        <f aca="false">MAX(0,H402+I403-J403)</f>
        <v>0</v>
      </c>
      <c r="I403" s="15" t="n">
        <f aca="false">IF(H402&lt;=0.005,0,H402*Compare!$B$4/12)</f>
        <v>0</v>
      </c>
      <c r="J403" s="15" t="n">
        <f aca="false">IF(H402&lt;=0.005,0,MIN(H402+I403,Compare!$B$9+Compare!$B$8))</f>
        <v>0</v>
      </c>
    </row>
    <row r="404" customFormat="false" ht="15" hidden="false" customHeight="false" outlineLevel="0" collapsed="false">
      <c r="A404" s="3" t="n">
        <v>401</v>
      </c>
      <c r="B404" s="15" t="n">
        <f aca="false">MAX(0,B403+C404-D404)</f>
        <v>0</v>
      </c>
      <c r="C404" s="15" t="n">
        <f aca="false">IF(B403&lt;=0.005,0,B403*Compare!$B$4/12)</f>
        <v>0</v>
      </c>
      <c r="D404" s="15" t="n">
        <f aca="false">IF(B403&lt;=0.005,0,MIN(B403+C404,MAX(Compare!$B$7,B403*Compare!$B$5+IF(Compare!$B$6="Yes",C404,0))))</f>
        <v>0</v>
      </c>
      <c r="E404" s="15" t="n">
        <f aca="false">MAX(0,E403+F404-G404)</f>
        <v>0</v>
      </c>
      <c r="F404" s="15" t="n">
        <f aca="false">IF(E403&lt;=0.005,0,E403*Compare!$B$4/12)</f>
        <v>0</v>
      </c>
      <c r="G404" s="15" t="n">
        <f aca="false">IF(E403&lt;=0.005,0,MIN(E403+F404,Compare!$B$9))</f>
        <v>0</v>
      </c>
      <c r="H404" s="15" t="n">
        <f aca="false">MAX(0,H403+I404-J404)</f>
        <v>0</v>
      </c>
      <c r="I404" s="15" t="n">
        <f aca="false">IF(H403&lt;=0.005,0,H403*Compare!$B$4/12)</f>
        <v>0</v>
      </c>
      <c r="J404" s="15" t="n">
        <f aca="false">IF(H403&lt;=0.005,0,MIN(H403+I404,Compare!$B$9+Compare!$B$8))</f>
        <v>0</v>
      </c>
    </row>
    <row r="405" customFormat="false" ht="15" hidden="false" customHeight="false" outlineLevel="0" collapsed="false">
      <c r="A405" s="3" t="n">
        <v>402</v>
      </c>
      <c r="B405" s="15" t="n">
        <f aca="false">MAX(0,B404+C405-D405)</f>
        <v>0</v>
      </c>
      <c r="C405" s="15" t="n">
        <f aca="false">IF(B404&lt;=0.005,0,B404*Compare!$B$4/12)</f>
        <v>0</v>
      </c>
      <c r="D405" s="15" t="n">
        <f aca="false">IF(B404&lt;=0.005,0,MIN(B404+C405,MAX(Compare!$B$7,B404*Compare!$B$5+IF(Compare!$B$6="Yes",C405,0))))</f>
        <v>0</v>
      </c>
      <c r="E405" s="15" t="n">
        <f aca="false">MAX(0,E404+F405-G405)</f>
        <v>0</v>
      </c>
      <c r="F405" s="15" t="n">
        <f aca="false">IF(E404&lt;=0.005,0,E404*Compare!$B$4/12)</f>
        <v>0</v>
      </c>
      <c r="G405" s="15" t="n">
        <f aca="false">IF(E404&lt;=0.005,0,MIN(E404+F405,Compare!$B$9))</f>
        <v>0</v>
      </c>
      <c r="H405" s="15" t="n">
        <f aca="false">MAX(0,H404+I405-J405)</f>
        <v>0</v>
      </c>
      <c r="I405" s="15" t="n">
        <f aca="false">IF(H404&lt;=0.005,0,H404*Compare!$B$4/12)</f>
        <v>0</v>
      </c>
      <c r="J405" s="15" t="n">
        <f aca="false">IF(H404&lt;=0.005,0,MIN(H404+I405,Compare!$B$9+Compare!$B$8))</f>
        <v>0</v>
      </c>
    </row>
    <row r="406" customFormat="false" ht="15" hidden="false" customHeight="false" outlineLevel="0" collapsed="false">
      <c r="A406" s="3" t="n">
        <v>403</v>
      </c>
      <c r="B406" s="15" t="n">
        <f aca="false">MAX(0,B405+C406-D406)</f>
        <v>0</v>
      </c>
      <c r="C406" s="15" t="n">
        <f aca="false">IF(B405&lt;=0.005,0,B405*Compare!$B$4/12)</f>
        <v>0</v>
      </c>
      <c r="D406" s="15" t="n">
        <f aca="false">IF(B405&lt;=0.005,0,MIN(B405+C406,MAX(Compare!$B$7,B405*Compare!$B$5+IF(Compare!$B$6="Yes",C406,0))))</f>
        <v>0</v>
      </c>
      <c r="E406" s="15" t="n">
        <f aca="false">MAX(0,E405+F406-G406)</f>
        <v>0</v>
      </c>
      <c r="F406" s="15" t="n">
        <f aca="false">IF(E405&lt;=0.005,0,E405*Compare!$B$4/12)</f>
        <v>0</v>
      </c>
      <c r="G406" s="15" t="n">
        <f aca="false">IF(E405&lt;=0.005,0,MIN(E405+F406,Compare!$B$9))</f>
        <v>0</v>
      </c>
      <c r="H406" s="15" t="n">
        <f aca="false">MAX(0,H405+I406-J406)</f>
        <v>0</v>
      </c>
      <c r="I406" s="15" t="n">
        <f aca="false">IF(H405&lt;=0.005,0,H405*Compare!$B$4/12)</f>
        <v>0</v>
      </c>
      <c r="J406" s="15" t="n">
        <f aca="false">IF(H405&lt;=0.005,0,MIN(H405+I406,Compare!$B$9+Compare!$B$8))</f>
        <v>0</v>
      </c>
    </row>
    <row r="407" customFormat="false" ht="15" hidden="false" customHeight="false" outlineLevel="0" collapsed="false">
      <c r="A407" s="3" t="n">
        <v>404</v>
      </c>
      <c r="B407" s="15" t="n">
        <f aca="false">MAX(0,B406+C407-D407)</f>
        <v>0</v>
      </c>
      <c r="C407" s="15" t="n">
        <f aca="false">IF(B406&lt;=0.005,0,B406*Compare!$B$4/12)</f>
        <v>0</v>
      </c>
      <c r="D407" s="15" t="n">
        <f aca="false">IF(B406&lt;=0.005,0,MIN(B406+C407,MAX(Compare!$B$7,B406*Compare!$B$5+IF(Compare!$B$6="Yes",C407,0))))</f>
        <v>0</v>
      </c>
      <c r="E407" s="15" t="n">
        <f aca="false">MAX(0,E406+F407-G407)</f>
        <v>0</v>
      </c>
      <c r="F407" s="15" t="n">
        <f aca="false">IF(E406&lt;=0.005,0,E406*Compare!$B$4/12)</f>
        <v>0</v>
      </c>
      <c r="G407" s="15" t="n">
        <f aca="false">IF(E406&lt;=0.005,0,MIN(E406+F407,Compare!$B$9))</f>
        <v>0</v>
      </c>
      <c r="H407" s="15" t="n">
        <f aca="false">MAX(0,H406+I407-J407)</f>
        <v>0</v>
      </c>
      <c r="I407" s="15" t="n">
        <f aca="false">IF(H406&lt;=0.005,0,H406*Compare!$B$4/12)</f>
        <v>0</v>
      </c>
      <c r="J407" s="15" t="n">
        <f aca="false">IF(H406&lt;=0.005,0,MIN(H406+I407,Compare!$B$9+Compare!$B$8))</f>
        <v>0</v>
      </c>
    </row>
    <row r="408" customFormat="false" ht="15" hidden="false" customHeight="false" outlineLevel="0" collapsed="false">
      <c r="A408" s="3" t="n">
        <v>405</v>
      </c>
      <c r="B408" s="15" t="n">
        <f aca="false">MAX(0,B407+C408-D408)</f>
        <v>0</v>
      </c>
      <c r="C408" s="15" t="n">
        <f aca="false">IF(B407&lt;=0.005,0,B407*Compare!$B$4/12)</f>
        <v>0</v>
      </c>
      <c r="D408" s="15" t="n">
        <f aca="false">IF(B407&lt;=0.005,0,MIN(B407+C408,MAX(Compare!$B$7,B407*Compare!$B$5+IF(Compare!$B$6="Yes",C408,0))))</f>
        <v>0</v>
      </c>
      <c r="E408" s="15" t="n">
        <f aca="false">MAX(0,E407+F408-G408)</f>
        <v>0</v>
      </c>
      <c r="F408" s="15" t="n">
        <f aca="false">IF(E407&lt;=0.005,0,E407*Compare!$B$4/12)</f>
        <v>0</v>
      </c>
      <c r="G408" s="15" t="n">
        <f aca="false">IF(E407&lt;=0.005,0,MIN(E407+F408,Compare!$B$9))</f>
        <v>0</v>
      </c>
      <c r="H408" s="15" t="n">
        <f aca="false">MAX(0,H407+I408-J408)</f>
        <v>0</v>
      </c>
      <c r="I408" s="15" t="n">
        <f aca="false">IF(H407&lt;=0.005,0,H407*Compare!$B$4/12)</f>
        <v>0</v>
      </c>
      <c r="J408" s="15" t="n">
        <f aca="false">IF(H407&lt;=0.005,0,MIN(H407+I408,Compare!$B$9+Compare!$B$8))</f>
        <v>0</v>
      </c>
    </row>
    <row r="409" customFormat="false" ht="15" hidden="false" customHeight="false" outlineLevel="0" collapsed="false">
      <c r="A409" s="3" t="n">
        <v>406</v>
      </c>
      <c r="B409" s="15" t="n">
        <f aca="false">MAX(0,B408+C409-D409)</f>
        <v>0</v>
      </c>
      <c r="C409" s="15" t="n">
        <f aca="false">IF(B408&lt;=0.005,0,B408*Compare!$B$4/12)</f>
        <v>0</v>
      </c>
      <c r="D409" s="15" t="n">
        <f aca="false">IF(B408&lt;=0.005,0,MIN(B408+C409,MAX(Compare!$B$7,B408*Compare!$B$5+IF(Compare!$B$6="Yes",C409,0))))</f>
        <v>0</v>
      </c>
      <c r="E409" s="15" t="n">
        <f aca="false">MAX(0,E408+F409-G409)</f>
        <v>0</v>
      </c>
      <c r="F409" s="15" t="n">
        <f aca="false">IF(E408&lt;=0.005,0,E408*Compare!$B$4/12)</f>
        <v>0</v>
      </c>
      <c r="G409" s="15" t="n">
        <f aca="false">IF(E408&lt;=0.005,0,MIN(E408+F409,Compare!$B$9))</f>
        <v>0</v>
      </c>
      <c r="H409" s="15" t="n">
        <f aca="false">MAX(0,H408+I409-J409)</f>
        <v>0</v>
      </c>
      <c r="I409" s="15" t="n">
        <f aca="false">IF(H408&lt;=0.005,0,H408*Compare!$B$4/12)</f>
        <v>0</v>
      </c>
      <c r="J409" s="15" t="n">
        <f aca="false">IF(H408&lt;=0.005,0,MIN(H408+I409,Compare!$B$9+Compare!$B$8))</f>
        <v>0</v>
      </c>
    </row>
    <row r="410" customFormat="false" ht="15" hidden="false" customHeight="false" outlineLevel="0" collapsed="false">
      <c r="A410" s="3" t="n">
        <v>407</v>
      </c>
      <c r="B410" s="15" t="n">
        <f aca="false">MAX(0,B409+C410-D410)</f>
        <v>0</v>
      </c>
      <c r="C410" s="15" t="n">
        <f aca="false">IF(B409&lt;=0.005,0,B409*Compare!$B$4/12)</f>
        <v>0</v>
      </c>
      <c r="D410" s="15" t="n">
        <f aca="false">IF(B409&lt;=0.005,0,MIN(B409+C410,MAX(Compare!$B$7,B409*Compare!$B$5+IF(Compare!$B$6="Yes",C410,0))))</f>
        <v>0</v>
      </c>
      <c r="E410" s="15" t="n">
        <f aca="false">MAX(0,E409+F410-G410)</f>
        <v>0</v>
      </c>
      <c r="F410" s="15" t="n">
        <f aca="false">IF(E409&lt;=0.005,0,E409*Compare!$B$4/12)</f>
        <v>0</v>
      </c>
      <c r="G410" s="15" t="n">
        <f aca="false">IF(E409&lt;=0.005,0,MIN(E409+F410,Compare!$B$9))</f>
        <v>0</v>
      </c>
      <c r="H410" s="15" t="n">
        <f aca="false">MAX(0,H409+I410-J410)</f>
        <v>0</v>
      </c>
      <c r="I410" s="15" t="n">
        <f aca="false">IF(H409&lt;=0.005,0,H409*Compare!$B$4/12)</f>
        <v>0</v>
      </c>
      <c r="J410" s="15" t="n">
        <f aca="false">IF(H409&lt;=0.005,0,MIN(H409+I410,Compare!$B$9+Compare!$B$8))</f>
        <v>0</v>
      </c>
    </row>
    <row r="411" customFormat="false" ht="15" hidden="false" customHeight="false" outlineLevel="0" collapsed="false">
      <c r="A411" s="3" t="n">
        <v>408</v>
      </c>
      <c r="B411" s="15" t="n">
        <f aca="false">MAX(0,B410+C411-D411)</f>
        <v>0</v>
      </c>
      <c r="C411" s="15" t="n">
        <f aca="false">IF(B410&lt;=0.005,0,B410*Compare!$B$4/12)</f>
        <v>0</v>
      </c>
      <c r="D411" s="15" t="n">
        <f aca="false">IF(B410&lt;=0.005,0,MIN(B410+C411,MAX(Compare!$B$7,B410*Compare!$B$5+IF(Compare!$B$6="Yes",C411,0))))</f>
        <v>0</v>
      </c>
      <c r="E411" s="15" t="n">
        <f aca="false">MAX(0,E410+F411-G411)</f>
        <v>0</v>
      </c>
      <c r="F411" s="15" t="n">
        <f aca="false">IF(E410&lt;=0.005,0,E410*Compare!$B$4/12)</f>
        <v>0</v>
      </c>
      <c r="G411" s="15" t="n">
        <f aca="false">IF(E410&lt;=0.005,0,MIN(E410+F411,Compare!$B$9))</f>
        <v>0</v>
      </c>
      <c r="H411" s="15" t="n">
        <f aca="false">MAX(0,H410+I411-J411)</f>
        <v>0</v>
      </c>
      <c r="I411" s="15" t="n">
        <f aca="false">IF(H410&lt;=0.005,0,H410*Compare!$B$4/12)</f>
        <v>0</v>
      </c>
      <c r="J411" s="15" t="n">
        <f aca="false">IF(H410&lt;=0.005,0,MIN(H410+I411,Compare!$B$9+Compare!$B$8))</f>
        <v>0</v>
      </c>
    </row>
    <row r="412" customFormat="false" ht="15" hidden="false" customHeight="false" outlineLevel="0" collapsed="false">
      <c r="A412" s="3" t="n">
        <v>409</v>
      </c>
      <c r="B412" s="15" t="n">
        <f aca="false">MAX(0,B411+C412-D412)</f>
        <v>0</v>
      </c>
      <c r="C412" s="15" t="n">
        <f aca="false">IF(B411&lt;=0.005,0,B411*Compare!$B$4/12)</f>
        <v>0</v>
      </c>
      <c r="D412" s="15" t="n">
        <f aca="false">IF(B411&lt;=0.005,0,MIN(B411+C412,MAX(Compare!$B$7,B411*Compare!$B$5+IF(Compare!$B$6="Yes",C412,0))))</f>
        <v>0</v>
      </c>
      <c r="E412" s="15" t="n">
        <f aca="false">MAX(0,E411+F412-G412)</f>
        <v>0</v>
      </c>
      <c r="F412" s="15" t="n">
        <f aca="false">IF(E411&lt;=0.005,0,E411*Compare!$B$4/12)</f>
        <v>0</v>
      </c>
      <c r="G412" s="15" t="n">
        <f aca="false">IF(E411&lt;=0.005,0,MIN(E411+F412,Compare!$B$9))</f>
        <v>0</v>
      </c>
      <c r="H412" s="15" t="n">
        <f aca="false">MAX(0,H411+I412-J412)</f>
        <v>0</v>
      </c>
      <c r="I412" s="15" t="n">
        <f aca="false">IF(H411&lt;=0.005,0,H411*Compare!$B$4/12)</f>
        <v>0</v>
      </c>
      <c r="J412" s="15" t="n">
        <f aca="false">IF(H411&lt;=0.005,0,MIN(H411+I412,Compare!$B$9+Compare!$B$8))</f>
        <v>0</v>
      </c>
    </row>
    <row r="413" customFormat="false" ht="15" hidden="false" customHeight="false" outlineLevel="0" collapsed="false">
      <c r="A413" s="3" t="n">
        <v>410</v>
      </c>
      <c r="B413" s="15" t="n">
        <f aca="false">MAX(0,B412+C413-D413)</f>
        <v>0</v>
      </c>
      <c r="C413" s="15" t="n">
        <f aca="false">IF(B412&lt;=0.005,0,B412*Compare!$B$4/12)</f>
        <v>0</v>
      </c>
      <c r="D413" s="15" t="n">
        <f aca="false">IF(B412&lt;=0.005,0,MIN(B412+C413,MAX(Compare!$B$7,B412*Compare!$B$5+IF(Compare!$B$6="Yes",C413,0))))</f>
        <v>0</v>
      </c>
      <c r="E413" s="15" t="n">
        <f aca="false">MAX(0,E412+F413-G413)</f>
        <v>0</v>
      </c>
      <c r="F413" s="15" t="n">
        <f aca="false">IF(E412&lt;=0.005,0,E412*Compare!$B$4/12)</f>
        <v>0</v>
      </c>
      <c r="G413" s="15" t="n">
        <f aca="false">IF(E412&lt;=0.005,0,MIN(E412+F413,Compare!$B$9))</f>
        <v>0</v>
      </c>
      <c r="H413" s="15" t="n">
        <f aca="false">MAX(0,H412+I413-J413)</f>
        <v>0</v>
      </c>
      <c r="I413" s="15" t="n">
        <f aca="false">IF(H412&lt;=0.005,0,H412*Compare!$B$4/12)</f>
        <v>0</v>
      </c>
      <c r="J413" s="15" t="n">
        <f aca="false">IF(H412&lt;=0.005,0,MIN(H412+I413,Compare!$B$9+Compare!$B$8))</f>
        <v>0</v>
      </c>
    </row>
    <row r="414" customFormat="false" ht="15" hidden="false" customHeight="false" outlineLevel="0" collapsed="false">
      <c r="A414" s="3" t="n">
        <v>411</v>
      </c>
      <c r="B414" s="15" t="n">
        <f aca="false">MAX(0,B413+C414-D414)</f>
        <v>0</v>
      </c>
      <c r="C414" s="15" t="n">
        <f aca="false">IF(B413&lt;=0.005,0,B413*Compare!$B$4/12)</f>
        <v>0</v>
      </c>
      <c r="D414" s="15" t="n">
        <f aca="false">IF(B413&lt;=0.005,0,MIN(B413+C414,MAX(Compare!$B$7,B413*Compare!$B$5+IF(Compare!$B$6="Yes",C414,0))))</f>
        <v>0</v>
      </c>
      <c r="E414" s="15" t="n">
        <f aca="false">MAX(0,E413+F414-G414)</f>
        <v>0</v>
      </c>
      <c r="F414" s="15" t="n">
        <f aca="false">IF(E413&lt;=0.005,0,E413*Compare!$B$4/12)</f>
        <v>0</v>
      </c>
      <c r="G414" s="15" t="n">
        <f aca="false">IF(E413&lt;=0.005,0,MIN(E413+F414,Compare!$B$9))</f>
        <v>0</v>
      </c>
      <c r="H414" s="15" t="n">
        <f aca="false">MAX(0,H413+I414-J414)</f>
        <v>0</v>
      </c>
      <c r="I414" s="15" t="n">
        <f aca="false">IF(H413&lt;=0.005,0,H413*Compare!$B$4/12)</f>
        <v>0</v>
      </c>
      <c r="J414" s="15" t="n">
        <f aca="false">IF(H413&lt;=0.005,0,MIN(H413+I414,Compare!$B$9+Compare!$B$8))</f>
        <v>0</v>
      </c>
    </row>
    <row r="415" customFormat="false" ht="15" hidden="false" customHeight="false" outlineLevel="0" collapsed="false">
      <c r="A415" s="3" t="n">
        <v>412</v>
      </c>
      <c r="B415" s="15" t="n">
        <f aca="false">MAX(0,B414+C415-D415)</f>
        <v>0</v>
      </c>
      <c r="C415" s="15" t="n">
        <f aca="false">IF(B414&lt;=0.005,0,B414*Compare!$B$4/12)</f>
        <v>0</v>
      </c>
      <c r="D415" s="15" t="n">
        <f aca="false">IF(B414&lt;=0.005,0,MIN(B414+C415,MAX(Compare!$B$7,B414*Compare!$B$5+IF(Compare!$B$6="Yes",C415,0))))</f>
        <v>0</v>
      </c>
      <c r="E415" s="15" t="n">
        <f aca="false">MAX(0,E414+F415-G415)</f>
        <v>0</v>
      </c>
      <c r="F415" s="15" t="n">
        <f aca="false">IF(E414&lt;=0.005,0,E414*Compare!$B$4/12)</f>
        <v>0</v>
      </c>
      <c r="G415" s="15" t="n">
        <f aca="false">IF(E414&lt;=0.005,0,MIN(E414+F415,Compare!$B$9))</f>
        <v>0</v>
      </c>
      <c r="H415" s="15" t="n">
        <f aca="false">MAX(0,H414+I415-J415)</f>
        <v>0</v>
      </c>
      <c r="I415" s="15" t="n">
        <f aca="false">IF(H414&lt;=0.005,0,H414*Compare!$B$4/12)</f>
        <v>0</v>
      </c>
      <c r="J415" s="15" t="n">
        <f aca="false">IF(H414&lt;=0.005,0,MIN(H414+I415,Compare!$B$9+Compare!$B$8))</f>
        <v>0</v>
      </c>
    </row>
    <row r="416" customFormat="false" ht="15" hidden="false" customHeight="false" outlineLevel="0" collapsed="false">
      <c r="A416" s="3" t="n">
        <v>413</v>
      </c>
      <c r="B416" s="15" t="n">
        <f aca="false">MAX(0,B415+C416-D416)</f>
        <v>0</v>
      </c>
      <c r="C416" s="15" t="n">
        <f aca="false">IF(B415&lt;=0.005,0,B415*Compare!$B$4/12)</f>
        <v>0</v>
      </c>
      <c r="D416" s="15" t="n">
        <f aca="false">IF(B415&lt;=0.005,0,MIN(B415+C416,MAX(Compare!$B$7,B415*Compare!$B$5+IF(Compare!$B$6="Yes",C416,0))))</f>
        <v>0</v>
      </c>
      <c r="E416" s="15" t="n">
        <f aca="false">MAX(0,E415+F416-G416)</f>
        <v>0</v>
      </c>
      <c r="F416" s="15" t="n">
        <f aca="false">IF(E415&lt;=0.005,0,E415*Compare!$B$4/12)</f>
        <v>0</v>
      </c>
      <c r="G416" s="15" t="n">
        <f aca="false">IF(E415&lt;=0.005,0,MIN(E415+F416,Compare!$B$9))</f>
        <v>0</v>
      </c>
      <c r="H416" s="15" t="n">
        <f aca="false">MAX(0,H415+I416-J416)</f>
        <v>0</v>
      </c>
      <c r="I416" s="15" t="n">
        <f aca="false">IF(H415&lt;=0.005,0,H415*Compare!$B$4/12)</f>
        <v>0</v>
      </c>
      <c r="J416" s="15" t="n">
        <f aca="false">IF(H415&lt;=0.005,0,MIN(H415+I416,Compare!$B$9+Compare!$B$8))</f>
        <v>0</v>
      </c>
    </row>
    <row r="417" customFormat="false" ht="15" hidden="false" customHeight="false" outlineLevel="0" collapsed="false">
      <c r="A417" s="3" t="n">
        <v>414</v>
      </c>
      <c r="B417" s="15" t="n">
        <f aca="false">MAX(0,B416+C417-D417)</f>
        <v>0</v>
      </c>
      <c r="C417" s="15" t="n">
        <f aca="false">IF(B416&lt;=0.005,0,B416*Compare!$B$4/12)</f>
        <v>0</v>
      </c>
      <c r="D417" s="15" t="n">
        <f aca="false">IF(B416&lt;=0.005,0,MIN(B416+C417,MAX(Compare!$B$7,B416*Compare!$B$5+IF(Compare!$B$6="Yes",C417,0))))</f>
        <v>0</v>
      </c>
      <c r="E417" s="15" t="n">
        <f aca="false">MAX(0,E416+F417-G417)</f>
        <v>0</v>
      </c>
      <c r="F417" s="15" t="n">
        <f aca="false">IF(E416&lt;=0.005,0,E416*Compare!$B$4/12)</f>
        <v>0</v>
      </c>
      <c r="G417" s="15" t="n">
        <f aca="false">IF(E416&lt;=0.005,0,MIN(E416+F417,Compare!$B$9))</f>
        <v>0</v>
      </c>
      <c r="H417" s="15" t="n">
        <f aca="false">MAX(0,H416+I417-J417)</f>
        <v>0</v>
      </c>
      <c r="I417" s="15" t="n">
        <f aca="false">IF(H416&lt;=0.005,0,H416*Compare!$B$4/12)</f>
        <v>0</v>
      </c>
      <c r="J417" s="15" t="n">
        <f aca="false">IF(H416&lt;=0.005,0,MIN(H416+I417,Compare!$B$9+Compare!$B$8))</f>
        <v>0</v>
      </c>
    </row>
    <row r="418" customFormat="false" ht="15" hidden="false" customHeight="false" outlineLevel="0" collapsed="false">
      <c r="A418" s="3" t="n">
        <v>415</v>
      </c>
      <c r="B418" s="15" t="n">
        <f aca="false">MAX(0,B417+C418-D418)</f>
        <v>0</v>
      </c>
      <c r="C418" s="15" t="n">
        <f aca="false">IF(B417&lt;=0.005,0,B417*Compare!$B$4/12)</f>
        <v>0</v>
      </c>
      <c r="D418" s="15" t="n">
        <f aca="false">IF(B417&lt;=0.005,0,MIN(B417+C418,MAX(Compare!$B$7,B417*Compare!$B$5+IF(Compare!$B$6="Yes",C418,0))))</f>
        <v>0</v>
      </c>
      <c r="E418" s="15" t="n">
        <f aca="false">MAX(0,E417+F418-G418)</f>
        <v>0</v>
      </c>
      <c r="F418" s="15" t="n">
        <f aca="false">IF(E417&lt;=0.005,0,E417*Compare!$B$4/12)</f>
        <v>0</v>
      </c>
      <c r="G418" s="15" t="n">
        <f aca="false">IF(E417&lt;=0.005,0,MIN(E417+F418,Compare!$B$9))</f>
        <v>0</v>
      </c>
      <c r="H418" s="15" t="n">
        <f aca="false">MAX(0,H417+I418-J418)</f>
        <v>0</v>
      </c>
      <c r="I418" s="15" t="n">
        <f aca="false">IF(H417&lt;=0.005,0,H417*Compare!$B$4/12)</f>
        <v>0</v>
      </c>
      <c r="J418" s="15" t="n">
        <f aca="false">IF(H417&lt;=0.005,0,MIN(H417+I418,Compare!$B$9+Compare!$B$8))</f>
        <v>0</v>
      </c>
    </row>
    <row r="419" customFormat="false" ht="15" hidden="false" customHeight="false" outlineLevel="0" collapsed="false">
      <c r="A419" s="3" t="n">
        <v>416</v>
      </c>
      <c r="B419" s="15" t="n">
        <f aca="false">MAX(0,B418+C419-D419)</f>
        <v>0</v>
      </c>
      <c r="C419" s="15" t="n">
        <f aca="false">IF(B418&lt;=0.005,0,B418*Compare!$B$4/12)</f>
        <v>0</v>
      </c>
      <c r="D419" s="15" t="n">
        <f aca="false">IF(B418&lt;=0.005,0,MIN(B418+C419,MAX(Compare!$B$7,B418*Compare!$B$5+IF(Compare!$B$6="Yes",C419,0))))</f>
        <v>0</v>
      </c>
      <c r="E419" s="15" t="n">
        <f aca="false">MAX(0,E418+F419-G419)</f>
        <v>0</v>
      </c>
      <c r="F419" s="15" t="n">
        <f aca="false">IF(E418&lt;=0.005,0,E418*Compare!$B$4/12)</f>
        <v>0</v>
      </c>
      <c r="G419" s="15" t="n">
        <f aca="false">IF(E418&lt;=0.005,0,MIN(E418+F419,Compare!$B$9))</f>
        <v>0</v>
      </c>
      <c r="H419" s="15" t="n">
        <f aca="false">MAX(0,H418+I419-J419)</f>
        <v>0</v>
      </c>
      <c r="I419" s="15" t="n">
        <f aca="false">IF(H418&lt;=0.005,0,H418*Compare!$B$4/12)</f>
        <v>0</v>
      </c>
      <c r="J419" s="15" t="n">
        <f aca="false">IF(H418&lt;=0.005,0,MIN(H418+I419,Compare!$B$9+Compare!$B$8))</f>
        <v>0</v>
      </c>
    </row>
    <row r="420" customFormat="false" ht="15" hidden="false" customHeight="false" outlineLevel="0" collapsed="false">
      <c r="A420" s="3" t="n">
        <v>417</v>
      </c>
      <c r="B420" s="15" t="n">
        <f aca="false">MAX(0,B419+C420-D420)</f>
        <v>0</v>
      </c>
      <c r="C420" s="15" t="n">
        <f aca="false">IF(B419&lt;=0.005,0,B419*Compare!$B$4/12)</f>
        <v>0</v>
      </c>
      <c r="D420" s="15" t="n">
        <f aca="false">IF(B419&lt;=0.005,0,MIN(B419+C420,MAX(Compare!$B$7,B419*Compare!$B$5+IF(Compare!$B$6="Yes",C420,0))))</f>
        <v>0</v>
      </c>
      <c r="E420" s="15" t="n">
        <f aca="false">MAX(0,E419+F420-G420)</f>
        <v>0</v>
      </c>
      <c r="F420" s="15" t="n">
        <f aca="false">IF(E419&lt;=0.005,0,E419*Compare!$B$4/12)</f>
        <v>0</v>
      </c>
      <c r="G420" s="15" t="n">
        <f aca="false">IF(E419&lt;=0.005,0,MIN(E419+F420,Compare!$B$9))</f>
        <v>0</v>
      </c>
      <c r="H420" s="15" t="n">
        <f aca="false">MAX(0,H419+I420-J420)</f>
        <v>0</v>
      </c>
      <c r="I420" s="15" t="n">
        <f aca="false">IF(H419&lt;=0.005,0,H419*Compare!$B$4/12)</f>
        <v>0</v>
      </c>
      <c r="J420" s="15" t="n">
        <f aca="false">IF(H419&lt;=0.005,0,MIN(H419+I420,Compare!$B$9+Compare!$B$8))</f>
        <v>0</v>
      </c>
    </row>
    <row r="421" customFormat="false" ht="15" hidden="false" customHeight="false" outlineLevel="0" collapsed="false">
      <c r="A421" s="3" t="n">
        <v>418</v>
      </c>
      <c r="B421" s="15" t="n">
        <f aca="false">MAX(0,B420+C421-D421)</f>
        <v>0</v>
      </c>
      <c r="C421" s="15" t="n">
        <f aca="false">IF(B420&lt;=0.005,0,B420*Compare!$B$4/12)</f>
        <v>0</v>
      </c>
      <c r="D421" s="15" t="n">
        <f aca="false">IF(B420&lt;=0.005,0,MIN(B420+C421,MAX(Compare!$B$7,B420*Compare!$B$5+IF(Compare!$B$6="Yes",C421,0))))</f>
        <v>0</v>
      </c>
      <c r="E421" s="15" t="n">
        <f aca="false">MAX(0,E420+F421-G421)</f>
        <v>0</v>
      </c>
      <c r="F421" s="15" t="n">
        <f aca="false">IF(E420&lt;=0.005,0,E420*Compare!$B$4/12)</f>
        <v>0</v>
      </c>
      <c r="G421" s="15" t="n">
        <f aca="false">IF(E420&lt;=0.005,0,MIN(E420+F421,Compare!$B$9))</f>
        <v>0</v>
      </c>
      <c r="H421" s="15" t="n">
        <f aca="false">MAX(0,H420+I421-J421)</f>
        <v>0</v>
      </c>
      <c r="I421" s="15" t="n">
        <f aca="false">IF(H420&lt;=0.005,0,H420*Compare!$B$4/12)</f>
        <v>0</v>
      </c>
      <c r="J421" s="15" t="n">
        <f aca="false">IF(H420&lt;=0.005,0,MIN(H420+I421,Compare!$B$9+Compare!$B$8))</f>
        <v>0</v>
      </c>
    </row>
    <row r="422" customFormat="false" ht="15" hidden="false" customHeight="false" outlineLevel="0" collapsed="false">
      <c r="A422" s="3" t="n">
        <v>419</v>
      </c>
      <c r="B422" s="15" t="n">
        <f aca="false">MAX(0,B421+C422-D422)</f>
        <v>0</v>
      </c>
      <c r="C422" s="15" t="n">
        <f aca="false">IF(B421&lt;=0.005,0,B421*Compare!$B$4/12)</f>
        <v>0</v>
      </c>
      <c r="D422" s="15" t="n">
        <f aca="false">IF(B421&lt;=0.005,0,MIN(B421+C422,MAX(Compare!$B$7,B421*Compare!$B$5+IF(Compare!$B$6="Yes",C422,0))))</f>
        <v>0</v>
      </c>
      <c r="E422" s="15" t="n">
        <f aca="false">MAX(0,E421+F422-G422)</f>
        <v>0</v>
      </c>
      <c r="F422" s="15" t="n">
        <f aca="false">IF(E421&lt;=0.005,0,E421*Compare!$B$4/12)</f>
        <v>0</v>
      </c>
      <c r="G422" s="15" t="n">
        <f aca="false">IF(E421&lt;=0.005,0,MIN(E421+F422,Compare!$B$9))</f>
        <v>0</v>
      </c>
      <c r="H422" s="15" t="n">
        <f aca="false">MAX(0,H421+I422-J422)</f>
        <v>0</v>
      </c>
      <c r="I422" s="15" t="n">
        <f aca="false">IF(H421&lt;=0.005,0,H421*Compare!$B$4/12)</f>
        <v>0</v>
      </c>
      <c r="J422" s="15" t="n">
        <f aca="false">IF(H421&lt;=0.005,0,MIN(H421+I422,Compare!$B$9+Compare!$B$8))</f>
        <v>0</v>
      </c>
    </row>
    <row r="423" customFormat="false" ht="15" hidden="false" customHeight="false" outlineLevel="0" collapsed="false">
      <c r="A423" s="3" t="n">
        <v>420</v>
      </c>
      <c r="B423" s="15" t="n">
        <f aca="false">MAX(0,B422+C423-D423)</f>
        <v>0</v>
      </c>
      <c r="C423" s="15" t="n">
        <f aca="false">IF(B422&lt;=0.005,0,B422*Compare!$B$4/12)</f>
        <v>0</v>
      </c>
      <c r="D423" s="15" t="n">
        <f aca="false">IF(B422&lt;=0.005,0,MIN(B422+C423,MAX(Compare!$B$7,B422*Compare!$B$5+IF(Compare!$B$6="Yes",C423,0))))</f>
        <v>0</v>
      </c>
      <c r="E423" s="15" t="n">
        <f aca="false">MAX(0,E422+F423-G423)</f>
        <v>0</v>
      </c>
      <c r="F423" s="15" t="n">
        <f aca="false">IF(E422&lt;=0.005,0,E422*Compare!$B$4/12)</f>
        <v>0</v>
      </c>
      <c r="G423" s="15" t="n">
        <f aca="false">IF(E422&lt;=0.005,0,MIN(E422+F423,Compare!$B$9))</f>
        <v>0</v>
      </c>
      <c r="H423" s="15" t="n">
        <f aca="false">MAX(0,H422+I423-J423)</f>
        <v>0</v>
      </c>
      <c r="I423" s="15" t="n">
        <f aca="false">IF(H422&lt;=0.005,0,H422*Compare!$B$4/12)</f>
        <v>0</v>
      </c>
      <c r="J423" s="15" t="n">
        <f aca="false">IF(H422&lt;=0.005,0,MIN(H422+I423,Compare!$B$9+Compare!$B$8))</f>
        <v>0</v>
      </c>
    </row>
    <row r="424" customFormat="false" ht="15" hidden="false" customHeight="false" outlineLevel="0" collapsed="false">
      <c r="A424" s="3" t="n">
        <v>421</v>
      </c>
      <c r="B424" s="15" t="n">
        <f aca="false">MAX(0,B423+C424-D424)</f>
        <v>0</v>
      </c>
      <c r="C424" s="15" t="n">
        <f aca="false">IF(B423&lt;=0.005,0,B423*Compare!$B$4/12)</f>
        <v>0</v>
      </c>
      <c r="D424" s="15" t="n">
        <f aca="false">IF(B423&lt;=0.005,0,MIN(B423+C424,MAX(Compare!$B$7,B423*Compare!$B$5+IF(Compare!$B$6="Yes",C424,0))))</f>
        <v>0</v>
      </c>
      <c r="E424" s="15" t="n">
        <f aca="false">MAX(0,E423+F424-G424)</f>
        <v>0</v>
      </c>
      <c r="F424" s="15" t="n">
        <f aca="false">IF(E423&lt;=0.005,0,E423*Compare!$B$4/12)</f>
        <v>0</v>
      </c>
      <c r="G424" s="15" t="n">
        <f aca="false">IF(E423&lt;=0.005,0,MIN(E423+F424,Compare!$B$9))</f>
        <v>0</v>
      </c>
      <c r="H424" s="15" t="n">
        <f aca="false">MAX(0,H423+I424-J424)</f>
        <v>0</v>
      </c>
      <c r="I424" s="15" t="n">
        <f aca="false">IF(H423&lt;=0.005,0,H423*Compare!$B$4/12)</f>
        <v>0</v>
      </c>
      <c r="J424" s="15" t="n">
        <f aca="false">IF(H423&lt;=0.005,0,MIN(H423+I424,Compare!$B$9+Compare!$B$8))</f>
        <v>0</v>
      </c>
    </row>
    <row r="425" customFormat="false" ht="15" hidden="false" customHeight="false" outlineLevel="0" collapsed="false">
      <c r="A425" s="3" t="n">
        <v>422</v>
      </c>
      <c r="B425" s="15" t="n">
        <f aca="false">MAX(0,B424+C425-D425)</f>
        <v>0</v>
      </c>
      <c r="C425" s="15" t="n">
        <f aca="false">IF(B424&lt;=0.005,0,B424*Compare!$B$4/12)</f>
        <v>0</v>
      </c>
      <c r="D425" s="15" t="n">
        <f aca="false">IF(B424&lt;=0.005,0,MIN(B424+C425,MAX(Compare!$B$7,B424*Compare!$B$5+IF(Compare!$B$6="Yes",C425,0))))</f>
        <v>0</v>
      </c>
      <c r="E425" s="15" t="n">
        <f aca="false">MAX(0,E424+F425-G425)</f>
        <v>0</v>
      </c>
      <c r="F425" s="15" t="n">
        <f aca="false">IF(E424&lt;=0.005,0,E424*Compare!$B$4/12)</f>
        <v>0</v>
      </c>
      <c r="G425" s="15" t="n">
        <f aca="false">IF(E424&lt;=0.005,0,MIN(E424+F425,Compare!$B$9))</f>
        <v>0</v>
      </c>
      <c r="H425" s="15" t="n">
        <f aca="false">MAX(0,H424+I425-J425)</f>
        <v>0</v>
      </c>
      <c r="I425" s="15" t="n">
        <f aca="false">IF(H424&lt;=0.005,0,H424*Compare!$B$4/12)</f>
        <v>0</v>
      </c>
      <c r="J425" s="15" t="n">
        <f aca="false">IF(H424&lt;=0.005,0,MIN(H424+I425,Compare!$B$9+Compare!$B$8))</f>
        <v>0</v>
      </c>
    </row>
    <row r="426" customFormat="false" ht="15" hidden="false" customHeight="false" outlineLevel="0" collapsed="false">
      <c r="A426" s="3" t="n">
        <v>423</v>
      </c>
      <c r="B426" s="15" t="n">
        <f aca="false">MAX(0,B425+C426-D426)</f>
        <v>0</v>
      </c>
      <c r="C426" s="15" t="n">
        <f aca="false">IF(B425&lt;=0.005,0,B425*Compare!$B$4/12)</f>
        <v>0</v>
      </c>
      <c r="D426" s="15" t="n">
        <f aca="false">IF(B425&lt;=0.005,0,MIN(B425+C426,MAX(Compare!$B$7,B425*Compare!$B$5+IF(Compare!$B$6="Yes",C426,0))))</f>
        <v>0</v>
      </c>
      <c r="E426" s="15" t="n">
        <f aca="false">MAX(0,E425+F426-G426)</f>
        <v>0</v>
      </c>
      <c r="F426" s="15" t="n">
        <f aca="false">IF(E425&lt;=0.005,0,E425*Compare!$B$4/12)</f>
        <v>0</v>
      </c>
      <c r="G426" s="15" t="n">
        <f aca="false">IF(E425&lt;=0.005,0,MIN(E425+F426,Compare!$B$9))</f>
        <v>0</v>
      </c>
      <c r="H426" s="15" t="n">
        <f aca="false">MAX(0,H425+I426-J426)</f>
        <v>0</v>
      </c>
      <c r="I426" s="15" t="n">
        <f aca="false">IF(H425&lt;=0.005,0,H425*Compare!$B$4/12)</f>
        <v>0</v>
      </c>
      <c r="J426" s="15" t="n">
        <f aca="false">IF(H425&lt;=0.005,0,MIN(H425+I426,Compare!$B$9+Compare!$B$8))</f>
        <v>0</v>
      </c>
    </row>
    <row r="427" customFormat="false" ht="15" hidden="false" customHeight="false" outlineLevel="0" collapsed="false">
      <c r="A427" s="3" t="n">
        <v>424</v>
      </c>
      <c r="B427" s="15" t="n">
        <f aca="false">MAX(0,B426+C427-D427)</f>
        <v>0</v>
      </c>
      <c r="C427" s="15" t="n">
        <f aca="false">IF(B426&lt;=0.005,0,B426*Compare!$B$4/12)</f>
        <v>0</v>
      </c>
      <c r="D427" s="15" t="n">
        <f aca="false">IF(B426&lt;=0.005,0,MIN(B426+C427,MAX(Compare!$B$7,B426*Compare!$B$5+IF(Compare!$B$6="Yes",C427,0))))</f>
        <v>0</v>
      </c>
      <c r="E427" s="15" t="n">
        <f aca="false">MAX(0,E426+F427-G427)</f>
        <v>0</v>
      </c>
      <c r="F427" s="15" t="n">
        <f aca="false">IF(E426&lt;=0.005,0,E426*Compare!$B$4/12)</f>
        <v>0</v>
      </c>
      <c r="G427" s="15" t="n">
        <f aca="false">IF(E426&lt;=0.005,0,MIN(E426+F427,Compare!$B$9))</f>
        <v>0</v>
      </c>
      <c r="H427" s="15" t="n">
        <f aca="false">MAX(0,H426+I427-J427)</f>
        <v>0</v>
      </c>
      <c r="I427" s="15" t="n">
        <f aca="false">IF(H426&lt;=0.005,0,H426*Compare!$B$4/12)</f>
        <v>0</v>
      </c>
      <c r="J427" s="15" t="n">
        <f aca="false">IF(H426&lt;=0.005,0,MIN(H426+I427,Compare!$B$9+Compare!$B$8))</f>
        <v>0</v>
      </c>
    </row>
    <row r="428" customFormat="false" ht="15" hidden="false" customHeight="false" outlineLevel="0" collapsed="false">
      <c r="A428" s="3" t="n">
        <v>425</v>
      </c>
      <c r="B428" s="15" t="n">
        <f aca="false">MAX(0,B427+C428-D428)</f>
        <v>0</v>
      </c>
      <c r="C428" s="15" t="n">
        <f aca="false">IF(B427&lt;=0.005,0,B427*Compare!$B$4/12)</f>
        <v>0</v>
      </c>
      <c r="D428" s="15" t="n">
        <f aca="false">IF(B427&lt;=0.005,0,MIN(B427+C428,MAX(Compare!$B$7,B427*Compare!$B$5+IF(Compare!$B$6="Yes",C428,0))))</f>
        <v>0</v>
      </c>
      <c r="E428" s="15" t="n">
        <f aca="false">MAX(0,E427+F428-G428)</f>
        <v>0</v>
      </c>
      <c r="F428" s="15" t="n">
        <f aca="false">IF(E427&lt;=0.005,0,E427*Compare!$B$4/12)</f>
        <v>0</v>
      </c>
      <c r="G428" s="15" t="n">
        <f aca="false">IF(E427&lt;=0.005,0,MIN(E427+F428,Compare!$B$9))</f>
        <v>0</v>
      </c>
      <c r="H428" s="15" t="n">
        <f aca="false">MAX(0,H427+I428-J428)</f>
        <v>0</v>
      </c>
      <c r="I428" s="15" t="n">
        <f aca="false">IF(H427&lt;=0.005,0,H427*Compare!$B$4/12)</f>
        <v>0</v>
      </c>
      <c r="J428" s="15" t="n">
        <f aca="false">IF(H427&lt;=0.005,0,MIN(H427+I428,Compare!$B$9+Compare!$B$8))</f>
        <v>0</v>
      </c>
    </row>
    <row r="429" customFormat="false" ht="15" hidden="false" customHeight="false" outlineLevel="0" collapsed="false">
      <c r="A429" s="3" t="n">
        <v>426</v>
      </c>
      <c r="B429" s="15" t="n">
        <f aca="false">MAX(0,B428+C429-D429)</f>
        <v>0</v>
      </c>
      <c r="C429" s="15" t="n">
        <f aca="false">IF(B428&lt;=0.005,0,B428*Compare!$B$4/12)</f>
        <v>0</v>
      </c>
      <c r="D429" s="15" t="n">
        <f aca="false">IF(B428&lt;=0.005,0,MIN(B428+C429,MAX(Compare!$B$7,B428*Compare!$B$5+IF(Compare!$B$6="Yes",C429,0))))</f>
        <v>0</v>
      </c>
      <c r="E429" s="15" t="n">
        <f aca="false">MAX(0,E428+F429-G429)</f>
        <v>0</v>
      </c>
      <c r="F429" s="15" t="n">
        <f aca="false">IF(E428&lt;=0.005,0,E428*Compare!$B$4/12)</f>
        <v>0</v>
      </c>
      <c r="G429" s="15" t="n">
        <f aca="false">IF(E428&lt;=0.005,0,MIN(E428+F429,Compare!$B$9))</f>
        <v>0</v>
      </c>
      <c r="H429" s="15" t="n">
        <f aca="false">MAX(0,H428+I429-J429)</f>
        <v>0</v>
      </c>
      <c r="I429" s="15" t="n">
        <f aca="false">IF(H428&lt;=0.005,0,H428*Compare!$B$4/12)</f>
        <v>0</v>
      </c>
      <c r="J429" s="15" t="n">
        <f aca="false">IF(H428&lt;=0.005,0,MIN(H428+I429,Compare!$B$9+Compare!$B$8))</f>
        <v>0</v>
      </c>
    </row>
    <row r="430" customFormat="false" ht="15" hidden="false" customHeight="false" outlineLevel="0" collapsed="false">
      <c r="A430" s="3" t="n">
        <v>427</v>
      </c>
      <c r="B430" s="15" t="n">
        <f aca="false">MAX(0,B429+C430-D430)</f>
        <v>0</v>
      </c>
      <c r="C430" s="15" t="n">
        <f aca="false">IF(B429&lt;=0.005,0,B429*Compare!$B$4/12)</f>
        <v>0</v>
      </c>
      <c r="D430" s="15" t="n">
        <f aca="false">IF(B429&lt;=0.005,0,MIN(B429+C430,MAX(Compare!$B$7,B429*Compare!$B$5+IF(Compare!$B$6="Yes",C430,0))))</f>
        <v>0</v>
      </c>
      <c r="E430" s="15" t="n">
        <f aca="false">MAX(0,E429+F430-G430)</f>
        <v>0</v>
      </c>
      <c r="F430" s="15" t="n">
        <f aca="false">IF(E429&lt;=0.005,0,E429*Compare!$B$4/12)</f>
        <v>0</v>
      </c>
      <c r="G430" s="15" t="n">
        <f aca="false">IF(E429&lt;=0.005,0,MIN(E429+F430,Compare!$B$9))</f>
        <v>0</v>
      </c>
      <c r="H430" s="15" t="n">
        <f aca="false">MAX(0,H429+I430-J430)</f>
        <v>0</v>
      </c>
      <c r="I430" s="15" t="n">
        <f aca="false">IF(H429&lt;=0.005,0,H429*Compare!$B$4/12)</f>
        <v>0</v>
      </c>
      <c r="J430" s="15" t="n">
        <f aca="false">IF(H429&lt;=0.005,0,MIN(H429+I430,Compare!$B$9+Compare!$B$8))</f>
        <v>0</v>
      </c>
    </row>
    <row r="431" customFormat="false" ht="15" hidden="false" customHeight="false" outlineLevel="0" collapsed="false">
      <c r="A431" s="3" t="n">
        <v>428</v>
      </c>
      <c r="B431" s="15" t="n">
        <f aca="false">MAX(0,B430+C431-D431)</f>
        <v>0</v>
      </c>
      <c r="C431" s="15" t="n">
        <f aca="false">IF(B430&lt;=0.005,0,B430*Compare!$B$4/12)</f>
        <v>0</v>
      </c>
      <c r="D431" s="15" t="n">
        <f aca="false">IF(B430&lt;=0.005,0,MIN(B430+C431,MAX(Compare!$B$7,B430*Compare!$B$5+IF(Compare!$B$6="Yes",C431,0))))</f>
        <v>0</v>
      </c>
      <c r="E431" s="15" t="n">
        <f aca="false">MAX(0,E430+F431-G431)</f>
        <v>0</v>
      </c>
      <c r="F431" s="15" t="n">
        <f aca="false">IF(E430&lt;=0.005,0,E430*Compare!$B$4/12)</f>
        <v>0</v>
      </c>
      <c r="G431" s="15" t="n">
        <f aca="false">IF(E430&lt;=0.005,0,MIN(E430+F431,Compare!$B$9))</f>
        <v>0</v>
      </c>
      <c r="H431" s="15" t="n">
        <f aca="false">MAX(0,H430+I431-J431)</f>
        <v>0</v>
      </c>
      <c r="I431" s="15" t="n">
        <f aca="false">IF(H430&lt;=0.005,0,H430*Compare!$B$4/12)</f>
        <v>0</v>
      </c>
      <c r="J431" s="15" t="n">
        <f aca="false">IF(H430&lt;=0.005,0,MIN(H430+I431,Compare!$B$9+Compare!$B$8))</f>
        <v>0</v>
      </c>
    </row>
    <row r="432" customFormat="false" ht="15" hidden="false" customHeight="false" outlineLevel="0" collapsed="false">
      <c r="A432" s="3" t="n">
        <v>429</v>
      </c>
      <c r="B432" s="15" t="n">
        <f aca="false">MAX(0,B431+C432-D432)</f>
        <v>0</v>
      </c>
      <c r="C432" s="15" t="n">
        <f aca="false">IF(B431&lt;=0.005,0,B431*Compare!$B$4/12)</f>
        <v>0</v>
      </c>
      <c r="D432" s="15" t="n">
        <f aca="false">IF(B431&lt;=0.005,0,MIN(B431+C432,MAX(Compare!$B$7,B431*Compare!$B$5+IF(Compare!$B$6="Yes",C432,0))))</f>
        <v>0</v>
      </c>
      <c r="E432" s="15" t="n">
        <f aca="false">MAX(0,E431+F432-G432)</f>
        <v>0</v>
      </c>
      <c r="F432" s="15" t="n">
        <f aca="false">IF(E431&lt;=0.005,0,E431*Compare!$B$4/12)</f>
        <v>0</v>
      </c>
      <c r="G432" s="15" t="n">
        <f aca="false">IF(E431&lt;=0.005,0,MIN(E431+F432,Compare!$B$9))</f>
        <v>0</v>
      </c>
      <c r="H432" s="15" t="n">
        <f aca="false">MAX(0,H431+I432-J432)</f>
        <v>0</v>
      </c>
      <c r="I432" s="15" t="n">
        <f aca="false">IF(H431&lt;=0.005,0,H431*Compare!$B$4/12)</f>
        <v>0</v>
      </c>
      <c r="J432" s="15" t="n">
        <f aca="false">IF(H431&lt;=0.005,0,MIN(H431+I432,Compare!$B$9+Compare!$B$8))</f>
        <v>0</v>
      </c>
    </row>
    <row r="433" customFormat="false" ht="15" hidden="false" customHeight="false" outlineLevel="0" collapsed="false">
      <c r="A433" s="3" t="n">
        <v>430</v>
      </c>
      <c r="B433" s="15" t="n">
        <f aca="false">MAX(0,B432+C433-D433)</f>
        <v>0</v>
      </c>
      <c r="C433" s="15" t="n">
        <f aca="false">IF(B432&lt;=0.005,0,B432*Compare!$B$4/12)</f>
        <v>0</v>
      </c>
      <c r="D433" s="15" t="n">
        <f aca="false">IF(B432&lt;=0.005,0,MIN(B432+C433,MAX(Compare!$B$7,B432*Compare!$B$5+IF(Compare!$B$6="Yes",C433,0))))</f>
        <v>0</v>
      </c>
      <c r="E433" s="15" t="n">
        <f aca="false">MAX(0,E432+F433-G433)</f>
        <v>0</v>
      </c>
      <c r="F433" s="15" t="n">
        <f aca="false">IF(E432&lt;=0.005,0,E432*Compare!$B$4/12)</f>
        <v>0</v>
      </c>
      <c r="G433" s="15" t="n">
        <f aca="false">IF(E432&lt;=0.005,0,MIN(E432+F433,Compare!$B$9))</f>
        <v>0</v>
      </c>
      <c r="H433" s="15" t="n">
        <f aca="false">MAX(0,H432+I433-J433)</f>
        <v>0</v>
      </c>
      <c r="I433" s="15" t="n">
        <f aca="false">IF(H432&lt;=0.005,0,H432*Compare!$B$4/12)</f>
        <v>0</v>
      </c>
      <c r="J433" s="15" t="n">
        <f aca="false">IF(H432&lt;=0.005,0,MIN(H432+I433,Compare!$B$9+Compare!$B$8))</f>
        <v>0</v>
      </c>
    </row>
    <row r="434" customFormat="false" ht="15" hidden="false" customHeight="false" outlineLevel="0" collapsed="false">
      <c r="A434" s="3" t="n">
        <v>431</v>
      </c>
      <c r="B434" s="15" t="n">
        <f aca="false">MAX(0,B433+C434-D434)</f>
        <v>0</v>
      </c>
      <c r="C434" s="15" t="n">
        <f aca="false">IF(B433&lt;=0.005,0,B433*Compare!$B$4/12)</f>
        <v>0</v>
      </c>
      <c r="D434" s="15" t="n">
        <f aca="false">IF(B433&lt;=0.005,0,MIN(B433+C434,MAX(Compare!$B$7,B433*Compare!$B$5+IF(Compare!$B$6="Yes",C434,0))))</f>
        <v>0</v>
      </c>
      <c r="E434" s="15" t="n">
        <f aca="false">MAX(0,E433+F434-G434)</f>
        <v>0</v>
      </c>
      <c r="F434" s="15" t="n">
        <f aca="false">IF(E433&lt;=0.005,0,E433*Compare!$B$4/12)</f>
        <v>0</v>
      </c>
      <c r="G434" s="15" t="n">
        <f aca="false">IF(E433&lt;=0.005,0,MIN(E433+F434,Compare!$B$9))</f>
        <v>0</v>
      </c>
      <c r="H434" s="15" t="n">
        <f aca="false">MAX(0,H433+I434-J434)</f>
        <v>0</v>
      </c>
      <c r="I434" s="15" t="n">
        <f aca="false">IF(H433&lt;=0.005,0,H433*Compare!$B$4/12)</f>
        <v>0</v>
      </c>
      <c r="J434" s="15" t="n">
        <f aca="false">IF(H433&lt;=0.005,0,MIN(H433+I434,Compare!$B$9+Compare!$B$8))</f>
        <v>0</v>
      </c>
    </row>
    <row r="435" customFormat="false" ht="15" hidden="false" customHeight="false" outlineLevel="0" collapsed="false">
      <c r="A435" s="3" t="n">
        <v>432</v>
      </c>
      <c r="B435" s="15" t="n">
        <f aca="false">MAX(0,B434+C435-D435)</f>
        <v>0</v>
      </c>
      <c r="C435" s="15" t="n">
        <f aca="false">IF(B434&lt;=0.005,0,B434*Compare!$B$4/12)</f>
        <v>0</v>
      </c>
      <c r="D435" s="15" t="n">
        <f aca="false">IF(B434&lt;=0.005,0,MIN(B434+C435,MAX(Compare!$B$7,B434*Compare!$B$5+IF(Compare!$B$6="Yes",C435,0))))</f>
        <v>0</v>
      </c>
      <c r="E435" s="15" t="n">
        <f aca="false">MAX(0,E434+F435-G435)</f>
        <v>0</v>
      </c>
      <c r="F435" s="15" t="n">
        <f aca="false">IF(E434&lt;=0.005,0,E434*Compare!$B$4/12)</f>
        <v>0</v>
      </c>
      <c r="G435" s="15" t="n">
        <f aca="false">IF(E434&lt;=0.005,0,MIN(E434+F435,Compare!$B$9))</f>
        <v>0</v>
      </c>
      <c r="H435" s="15" t="n">
        <f aca="false">MAX(0,H434+I435-J435)</f>
        <v>0</v>
      </c>
      <c r="I435" s="15" t="n">
        <f aca="false">IF(H434&lt;=0.005,0,H434*Compare!$B$4/12)</f>
        <v>0</v>
      </c>
      <c r="J435" s="15" t="n">
        <f aca="false">IF(H434&lt;=0.005,0,MIN(H434+I435,Compare!$B$9+Compare!$B$8))</f>
        <v>0</v>
      </c>
    </row>
    <row r="436" customFormat="false" ht="15" hidden="false" customHeight="false" outlineLevel="0" collapsed="false">
      <c r="A436" s="3" t="n">
        <v>433</v>
      </c>
      <c r="B436" s="15" t="n">
        <f aca="false">MAX(0,B435+C436-D436)</f>
        <v>0</v>
      </c>
      <c r="C436" s="15" t="n">
        <f aca="false">IF(B435&lt;=0.005,0,B435*Compare!$B$4/12)</f>
        <v>0</v>
      </c>
      <c r="D436" s="15" t="n">
        <f aca="false">IF(B435&lt;=0.005,0,MIN(B435+C436,MAX(Compare!$B$7,B435*Compare!$B$5+IF(Compare!$B$6="Yes",C436,0))))</f>
        <v>0</v>
      </c>
      <c r="E436" s="15" t="n">
        <f aca="false">MAX(0,E435+F436-G436)</f>
        <v>0</v>
      </c>
      <c r="F436" s="15" t="n">
        <f aca="false">IF(E435&lt;=0.005,0,E435*Compare!$B$4/12)</f>
        <v>0</v>
      </c>
      <c r="G436" s="15" t="n">
        <f aca="false">IF(E435&lt;=0.005,0,MIN(E435+F436,Compare!$B$9))</f>
        <v>0</v>
      </c>
      <c r="H436" s="15" t="n">
        <f aca="false">MAX(0,H435+I436-J436)</f>
        <v>0</v>
      </c>
      <c r="I436" s="15" t="n">
        <f aca="false">IF(H435&lt;=0.005,0,H435*Compare!$B$4/12)</f>
        <v>0</v>
      </c>
      <c r="J436" s="15" t="n">
        <f aca="false">IF(H435&lt;=0.005,0,MIN(H435+I436,Compare!$B$9+Compare!$B$8))</f>
        <v>0</v>
      </c>
    </row>
    <row r="437" customFormat="false" ht="15" hidden="false" customHeight="false" outlineLevel="0" collapsed="false">
      <c r="A437" s="3" t="n">
        <v>434</v>
      </c>
      <c r="B437" s="15" t="n">
        <f aca="false">MAX(0,B436+C437-D437)</f>
        <v>0</v>
      </c>
      <c r="C437" s="15" t="n">
        <f aca="false">IF(B436&lt;=0.005,0,B436*Compare!$B$4/12)</f>
        <v>0</v>
      </c>
      <c r="D437" s="15" t="n">
        <f aca="false">IF(B436&lt;=0.005,0,MIN(B436+C437,MAX(Compare!$B$7,B436*Compare!$B$5+IF(Compare!$B$6="Yes",C437,0))))</f>
        <v>0</v>
      </c>
      <c r="E437" s="15" t="n">
        <f aca="false">MAX(0,E436+F437-G437)</f>
        <v>0</v>
      </c>
      <c r="F437" s="15" t="n">
        <f aca="false">IF(E436&lt;=0.005,0,E436*Compare!$B$4/12)</f>
        <v>0</v>
      </c>
      <c r="G437" s="15" t="n">
        <f aca="false">IF(E436&lt;=0.005,0,MIN(E436+F437,Compare!$B$9))</f>
        <v>0</v>
      </c>
      <c r="H437" s="15" t="n">
        <f aca="false">MAX(0,H436+I437-J437)</f>
        <v>0</v>
      </c>
      <c r="I437" s="15" t="n">
        <f aca="false">IF(H436&lt;=0.005,0,H436*Compare!$B$4/12)</f>
        <v>0</v>
      </c>
      <c r="J437" s="15" t="n">
        <f aca="false">IF(H436&lt;=0.005,0,MIN(H436+I437,Compare!$B$9+Compare!$B$8))</f>
        <v>0</v>
      </c>
    </row>
    <row r="438" customFormat="false" ht="15" hidden="false" customHeight="false" outlineLevel="0" collapsed="false">
      <c r="A438" s="3" t="n">
        <v>435</v>
      </c>
      <c r="B438" s="15" t="n">
        <f aca="false">MAX(0,B437+C438-D438)</f>
        <v>0</v>
      </c>
      <c r="C438" s="15" t="n">
        <f aca="false">IF(B437&lt;=0.005,0,B437*Compare!$B$4/12)</f>
        <v>0</v>
      </c>
      <c r="D438" s="15" t="n">
        <f aca="false">IF(B437&lt;=0.005,0,MIN(B437+C438,MAX(Compare!$B$7,B437*Compare!$B$5+IF(Compare!$B$6="Yes",C438,0))))</f>
        <v>0</v>
      </c>
      <c r="E438" s="15" t="n">
        <f aca="false">MAX(0,E437+F438-G438)</f>
        <v>0</v>
      </c>
      <c r="F438" s="15" t="n">
        <f aca="false">IF(E437&lt;=0.005,0,E437*Compare!$B$4/12)</f>
        <v>0</v>
      </c>
      <c r="G438" s="15" t="n">
        <f aca="false">IF(E437&lt;=0.005,0,MIN(E437+F438,Compare!$B$9))</f>
        <v>0</v>
      </c>
      <c r="H438" s="15" t="n">
        <f aca="false">MAX(0,H437+I438-J438)</f>
        <v>0</v>
      </c>
      <c r="I438" s="15" t="n">
        <f aca="false">IF(H437&lt;=0.005,0,H437*Compare!$B$4/12)</f>
        <v>0</v>
      </c>
      <c r="J438" s="15" t="n">
        <f aca="false">IF(H437&lt;=0.005,0,MIN(H437+I438,Compare!$B$9+Compare!$B$8))</f>
        <v>0</v>
      </c>
    </row>
    <row r="439" customFormat="false" ht="15" hidden="false" customHeight="false" outlineLevel="0" collapsed="false">
      <c r="A439" s="3" t="n">
        <v>436</v>
      </c>
      <c r="B439" s="15" t="n">
        <f aca="false">MAX(0,B438+C439-D439)</f>
        <v>0</v>
      </c>
      <c r="C439" s="15" t="n">
        <f aca="false">IF(B438&lt;=0.005,0,B438*Compare!$B$4/12)</f>
        <v>0</v>
      </c>
      <c r="D439" s="15" t="n">
        <f aca="false">IF(B438&lt;=0.005,0,MIN(B438+C439,MAX(Compare!$B$7,B438*Compare!$B$5+IF(Compare!$B$6="Yes",C439,0))))</f>
        <v>0</v>
      </c>
      <c r="E439" s="15" t="n">
        <f aca="false">MAX(0,E438+F439-G439)</f>
        <v>0</v>
      </c>
      <c r="F439" s="15" t="n">
        <f aca="false">IF(E438&lt;=0.005,0,E438*Compare!$B$4/12)</f>
        <v>0</v>
      </c>
      <c r="G439" s="15" t="n">
        <f aca="false">IF(E438&lt;=0.005,0,MIN(E438+F439,Compare!$B$9))</f>
        <v>0</v>
      </c>
      <c r="H439" s="15" t="n">
        <f aca="false">MAX(0,H438+I439-J439)</f>
        <v>0</v>
      </c>
      <c r="I439" s="15" t="n">
        <f aca="false">IF(H438&lt;=0.005,0,H438*Compare!$B$4/12)</f>
        <v>0</v>
      </c>
      <c r="J439" s="15" t="n">
        <f aca="false">IF(H438&lt;=0.005,0,MIN(H438+I439,Compare!$B$9+Compare!$B$8))</f>
        <v>0</v>
      </c>
    </row>
    <row r="440" customFormat="false" ht="15" hidden="false" customHeight="false" outlineLevel="0" collapsed="false">
      <c r="A440" s="3" t="n">
        <v>437</v>
      </c>
      <c r="B440" s="15" t="n">
        <f aca="false">MAX(0,B439+C440-D440)</f>
        <v>0</v>
      </c>
      <c r="C440" s="15" t="n">
        <f aca="false">IF(B439&lt;=0.005,0,B439*Compare!$B$4/12)</f>
        <v>0</v>
      </c>
      <c r="D440" s="15" t="n">
        <f aca="false">IF(B439&lt;=0.005,0,MIN(B439+C440,MAX(Compare!$B$7,B439*Compare!$B$5+IF(Compare!$B$6="Yes",C440,0))))</f>
        <v>0</v>
      </c>
      <c r="E440" s="15" t="n">
        <f aca="false">MAX(0,E439+F440-G440)</f>
        <v>0</v>
      </c>
      <c r="F440" s="15" t="n">
        <f aca="false">IF(E439&lt;=0.005,0,E439*Compare!$B$4/12)</f>
        <v>0</v>
      </c>
      <c r="G440" s="15" t="n">
        <f aca="false">IF(E439&lt;=0.005,0,MIN(E439+F440,Compare!$B$9))</f>
        <v>0</v>
      </c>
      <c r="H440" s="15" t="n">
        <f aca="false">MAX(0,H439+I440-J440)</f>
        <v>0</v>
      </c>
      <c r="I440" s="15" t="n">
        <f aca="false">IF(H439&lt;=0.005,0,H439*Compare!$B$4/12)</f>
        <v>0</v>
      </c>
      <c r="J440" s="15" t="n">
        <f aca="false">IF(H439&lt;=0.005,0,MIN(H439+I440,Compare!$B$9+Compare!$B$8))</f>
        <v>0</v>
      </c>
    </row>
    <row r="441" customFormat="false" ht="15" hidden="false" customHeight="false" outlineLevel="0" collapsed="false">
      <c r="A441" s="3" t="n">
        <v>438</v>
      </c>
      <c r="B441" s="15" t="n">
        <f aca="false">MAX(0,B440+C441-D441)</f>
        <v>0</v>
      </c>
      <c r="C441" s="15" t="n">
        <f aca="false">IF(B440&lt;=0.005,0,B440*Compare!$B$4/12)</f>
        <v>0</v>
      </c>
      <c r="D441" s="15" t="n">
        <f aca="false">IF(B440&lt;=0.005,0,MIN(B440+C441,MAX(Compare!$B$7,B440*Compare!$B$5+IF(Compare!$B$6="Yes",C441,0))))</f>
        <v>0</v>
      </c>
      <c r="E441" s="15" t="n">
        <f aca="false">MAX(0,E440+F441-G441)</f>
        <v>0</v>
      </c>
      <c r="F441" s="15" t="n">
        <f aca="false">IF(E440&lt;=0.005,0,E440*Compare!$B$4/12)</f>
        <v>0</v>
      </c>
      <c r="G441" s="15" t="n">
        <f aca="false">IF(E440&lt;=0.005,0,MIN(E440+F441,Compare!$B$9))</f>
        <v>0</v>
      </c>
      <c r="H441" s="15" t="n">
        <f aca="false">MAX(0,H440+I441-J441)</f>
        <v>0</v>
      </c>
      <c r="I441" s="15" t="n">
        <f aca="false">IF(H440&lt;=0.005,0,H440*Compare!$B$4/12)</f>
        <v>0</v>
      </c>
      <c r="J441" s="15" t="n">
        <f aca="false">IF(H440&lt;=0.005,0,MIN(H440+I441,Compare!$B$9+Compare!$B$8))</f>
        <v>0</v>
      </c>
    </row>
    <row r="442" customFormat="false" ht="15" hidden="false" customHeight="false" outlineLevel="0" collapsed="false">
      <c r="A442" s="3" t="n">
        <v>439</v>
      </c>
      <c r="B442" s="15" t="n">
        <f aca="false">MAX(0,B441+C442-D442)</f>
        <v>0</v>
      </c>
      <c r="C442" s="15" t="n">
        <f aca="false">IF(B441&lt;=0.005,0,B441*Compare!$B$4/12)</f>
        <v>0</v>
      </c>
      <c r="D442" s="15" t="n">
        <f aca="false">IF(B441&lt;=0.005,0,MIN(B441+C442,MAX(Compare!$B$7,B441*Compare!$B$5+IF(Compare!$B$6="Yes",C442,0))))</f>
        <v>0</v>
      </c>
      <c r="E442" s="15" t="n">
        <f aca="false">MAX(0,E441+F442-G442)</f>
        <v>0</v>
      </c>
      <c r="F442" s="15" t="n">
        <f aca="false">IF(E441&lt;=0.005,0,E441*Compare!$B$4/12)</f>
        <v>0</v>
      </c>
      <c r="G442" s="15" t="n">
        <f aca="false">IF(E441&lt;=0.005,0,MIN(E441+F442,Compare!$B$9))</f>
        <v>0</v>
      </c>
      <c r="H442" s="15" t="n">
        <f aca="false">MAX(0,H441+I442-J442)</f>
        <v>0</v>
      </c>
      <c r="I442" s="15" t="n">
        <f aca="false">IF(H441&lt;=0.005,0,H441*Compare!$B$4/12)</f>
        <v>0</v>
      </c>
      <c r="J442" s="15" t="n">
        <f aca="false">IF(H441&lt;=0.005,0,MIN(H441+I442,Compare!$B$9+Compare!$B$8))</f>
        <v>0</v>
      </c>
    </row>
    <row r="443" customFormat="false" ht="15" hidden="false" customHeight="false" outlineLevel="0" collapsed="false">
      <c r="A443" s="3" t="n">
        <v>440</v>
      </c>
      <c r="B443" s="15" t="n">
        <f aca="false">MAX(0,B442+C443-D443)</f>
        <v>0</v>
      </c>
      <c r="C443" s="15" t="n">
        <f aca="false">IF(B442&lt;=0.005,0,B442*Compare!$B$4/12)</f>
        <v>0</v>
      </c>
      <c r="D443" s="15" t="n">
        <f aca="false">IF(B442&lt;=0.005,0,MIN(B442+C443,MAX(Compare!$B$7,B442*Compare!$B$5+IF(Compare!$B$6="Yes",C443,0))))</f>
        <v>0</v>
      </c>
      <c r="E443" s="15" t="n">
        <f aca="false">MAX(0,E442+F443-G443)</f>
        <v>0</v>
      </c>
      <c r="F443" s="15" t="n">
        <f aca="false">IF(E442&lt;=0.005,0,E442*Compare!$B$4/12)</f>
        <v>0</v>
      </c>
      <c r="G443" s="15" t="n">
        <f aca="false">IF(E442&lt;=0.005,0,MIN(E442+F443,Compare!$B$9))</f>
        <v>0</v>
      </c>
      <c r="H443" s="15" t="n">
        <f aca="false">MAX(0,H442+I443-J443)</f>
        <v>0</v>
      </c>
      <c r="I443" s="15" t="n">
        <f aca="false">IF(H442&lt;=0.005,0,H442*Compare!$B$4/12)</f>
        <v>0</v>
      </c>
      <c r="J443" s="15" t="n">
        <f aca="false">IF(H442&lt;=0.005,0,MIN(H442+I443,Compare!$B$9+Compare!$B$8))</f>
        <v>0</v>
      </c>
    </row>
    <row r="444" customFormat="false" ht="15" hidden="false" customHeight="false" outlineLevel="0" collapsed="false">
      <c r="A444" s="3" t="n">
        <v>441</v>
      </c>
      <c r="B444" s="15" t="n">
        <f aca="false">MAX(0,B443+C444-D444)</f>
        <v>0</v>
      </c>
      <c r="C444" s="15" t="n">
        <f aca="false">IF(B443&lt;=0.005,0,B443*Compare!$B$4/12)</f>
        <v>0</v>
      </c>
      <c r="D444" s="15" t="n">
        <f aca="false">IF(B443&lt;=0.005,0,MIN(B443+C444,MAX(Compare!$B$7,B443*Compare!$B$5+IF(Compare!$B$6="Yes",C444,0))))</f>
        <v>0</v>
      </c>
      <c r="E444" s="15" t="n">
        <f aca="false">MAX(0,E443+F444-G444)</f>
        <v>0</v>
      </c>
      <c r="F444" s="15" t="n">
        <f aca="false">IF(E443&lt;=0.005,0,E443*Compare!$B$4/12)</f>
        <v>0</v>
      </c>
      <c r="G444" s="15" t="n">
        <f aca="false">IF(E443&lt;=0.005,0,MIN(E443+F444,Compare!$B$9))</f>
        <v>0</v>
      </c>
      <c r="H444" s="15" t="n">
        <f aca="false">MAX(0,H443+I444-J444)</f>
        <v>0</v>
      </c>
      <c r="I444" s="15" t="n">
        <f aca="false">IF(H443&lt;=0.005,0,H443*Compare!$B$4/12)</f>
        <v>0</v>
      </c>
      <c r="J444" s="15" t="n">
        <f aca="false">IF(H443&lt;=0.005,0,MIN(H443+I444,Compare!$B$9+Compare!$B$8))</f>
        <v>0</v>
      </c>
    </row>
    <row r="445" customFormat="false" ht="15" hidden="false" customHeight="false" outlineLevel="0" collapsed="false">
      <c r="A445" s="3" t="n">
        <v>442</v>
      </c>
      <c r="B445" s="15" t="n">
        <f aca="false">MAX(0,B444+C445-D445)</f>
        <v>0</v>
      </c>
      <c r="C445" s="15" t="n">
        <f aca="false">IF(B444&lt;=0.005,0,B444*Compare!$B$4/12)</f>
        <v>0</v>
      </c>
      <c r="D445" s="15" t="n">
        <f aca="false">IF(B444&lt;=0.005,0,MIN(B444+C445,MAX(Compare!$B$7,B444*Compare!$B$5+IF(Compare!$B$6="Yes",C445,0))))</f>
        <v>0</v>
      </c>
      <c r="E445" s="15" t="n">
        <f aca="false">MAX(0,E444+F445-G445)</f>
        <v>0</v>
      </c>
      <c r="F445" s="15" t="n">
        <f aca="false">IF(E444&lt;=0.005,0,E444*Compare!$B$4/12)</f>
        <v>0</v>
      </c>
      <c r="G445" s="15" t="n">
        <f aca="false">IF(E444&lt;=0.005,0,MIN(E444+F445,Compare!$B$9))</f>
        <v>0</v>
      </c>
      <c r="H445" s="15" t="n">
        <f aca="false">MAX(0,H444+I445-J445)</f>
        <v>0</v>
      </c>
      <c r="I445" s="15" t="n">
        <f aca="false">IF(H444&lt;=0.005,0,H444*Compare!$B$4/12)</f>
        <v>0</v>
      </c>
      <c r="J445" s="15" t="n">
        <f aca="false">IF(H444&lt;=0.005,0,MIN(H444+I445,Compare!$B$9+Compare!$B$8))</f>
        <v>0</v>
      </c>
    </row>
    <row r="446" customFormat="false" ht="15" hidden="false" customHeight="false" outlineLevel="0" collapsed="false">
      <c r="A446" s="3" t="n">
        <v>443</v>
      </c>
      <c r="B446" s="15" t="n">
        <f aca="false">MAX(0,B445+C446-D446)</f>
        <v>0</v>
      </c>
      <c r="C446" s="15" t="n">
        <f aca="false">IF(B445&lt;=0.005,0,B445*Compare!$B$4/12)</f>
        <v>0</v>
      </c>
      <c r="D446" s="15" t="n">
        <f aca="false">IF(B445&lt;=0.005,0,MIN(B445+C446,MAX(Compare!$B$7,B445*Compare!$B$5+IF(Compare!$B$6="Yes",C446,0))))</f>
        <v>0</v>
      </c>
      <c r="E446" s="15" t="n">
        <f aca="false">MAX(0,E445+F446-G446)</f>
        <v>0</v>
      </c>
      <c r="F446" s="15" t="n">
        <f aca="false">IF(E445&lt;=0.005,0,E445*Compare!$B$4/12)</f>
        <v>0</v>
      </c>
      <c r="G446" s="15" t="n">
        <f aca="false">IF(E445&lt;=0.005,0,MIN(E445+F446,Compare!$B$9))</f>
        <v>0</v>
      </c>
      <c r="H446" s="15" t="n">
        <f aca="false">MAX(0,H445+I446-J446)</f>
        <v>0</v>
      </c>
      <c r="I446" s="15" t="n">
        <f aca="false">IF(H445&lt;=0.005,0,H445*Compare!$B$4/12)</f>
        <v>0</v>
      </c>
      <c r="J446" s="15" t="n">
        <f aca="false">IF(H445&lt;=0.005,0,MIN(H445+I446,Compare!$B$9+Compare!$B$8))</f>
        <v>0</v>
      </c>
    </row>
    <row r="447" customFormat="false" ht="15" hidden="false" customHeight="false" outlineLevel="0" collapsed="false">
      <c r="A447" s="3" t="n">
        <v>444</v>
      </c>
      <c r="B447" s="15" t="n">
        <f aca="false">MAX(0,B446+C447-D447)</f>
        <v>0</v>
      </c>
      <c r="C447" s="15" t="n">
        <f aca="false">IF(B446&lt;=0.005,0,B446*Compare!$B$4/12)</f>
        <v>0</v>
      </c>
      <c r="D447" s="15" t="n">
        <f aca="false">IF(B446&lt;=0.005,0,MIN(B446+C447,MAX(Compare!$B$7,B446*Compare!$B$5+IF(Compare!$B$6="Yes",C447,0))))</f>
        <v>0</v>
      </c>
      <c r="E447" s="15" t="n">
        <f aca="false">MAX(0,E446+F447-G447)</f>
        <v>0</v>
      </c>
      <c r="F447" s="15" t="n">
        <f aca="false">IF(E446&lt;=0.005,0,E446*Compare!$B$4/12)</f>
        <v>0</v>
      </c>
      <c r="G447" s="15" t="n">
        <f aca="false">IF(E446&lt;=0.005,0,MIN(E446+F447,Compare!$B$9))</f>
        <v>0</v>
      </c>
      <c r="H447" s="15" t="n">
        <f aca="false">MAX(0,H446+I447-J447)</f>
        <v>0</v>
      </c>
      <c r="I447" s="15" t="n">
        <f aca="false">IF(H446&lt;=0.005,0,H446*Compare!$B$4/12)</f>
        <v>0</v>
      </c>
      <c r="J447" s="15" t="n">
        <f aca="false">IF(H446&lt;=0.005,0,MIN(H446+I447,Compare!$B$9+Compare!$B$8))</f>
        <v>0</v>
      </c>
    </row>
    <row r="448" customFormat="false" ht="15" hidden="false" customHeight="false" outlineLevel="0" collapsed="false">
      <c r="A448" s="3" t="n">
        <v>445</v>
      </c>
      <c r="B448" s="15" t="n">
        <f aca="false">MAX(0,B447+C448-D448)</f>
        <v>0</v>
      </c>
      <c r="C448" s="15" t="n">
        <f aca="false">IF(B447&lt;=0.005,0,B447*Compare!$B$4/12)</f>
        <v>0</v>
      </c>
      <c r="D448" s="15" t="n">
        <f aca="false">IF(B447&lt;=0.005,0,MIN(B447+C448,MAX(Compare!$B$7,B447*Compare!$B$5+IF(Compare!$B$6="Yes",C448,0))))</f>
        <v>0</v>
      </c>
      <c r="E448" s="15" t="n">
        <f aca="false">MAX(0,E447+F448-G448)</f>
        <v>0</v>
      </c>
      <c r="F448" s="15" t="n">
        <f aca="false">IF(E447&lt;=0.005,0,E447*Compare!$B$4/12)</f>
        <v>0</v>
      </c>
      <c r="G448" s="15" t="n">
        <f aca="false">IF(E447&lt;=0.005,0,MIN(E447+F448,Compare!$B$9))</f>
        <v>0</v>
      </c>
      <c r="H448" s="15" t="n">
        <f aca="false">MAX(0,H447+I448-J448)</f>
        <v>0</v>
      </c>
      <c r="I448" s="15" t="n">
        <f aca="false">IF(H447&lt;=0.005,0,H447*Compare!$B$4/12)</f>
        <v>0</v>
      </c>
      <c r="J448" s="15" t="n">
        <f aca="false">IF(H447&lt;=0.005,0,MIN(H447+I448,Compare!$B$9+Compare!$B$8))</f>
        <v>0</v>
      </c>
    </row>
    <row r="449" customFormat="false" ht="15" hidden="false" customHeight="false" outlineLevel="0" collapsed="false">
      <c r="A449" s="3" t="n">
        <v>446</v>
      </c>
      <c r="B449" s="15" t="n">
        <f aca="false">MAX(0,B448+C449-D449)</f>
        <v>0</v>
      </c>
      <c r="C449" s="15" t="n">
        <f aca="false">IF(B448&lt;=0.005,0,B448*Compare!$B$4/12)</f>
        <v>0</v>
      </c>
      <c r="D449" s="15" t="n">
        <f aca="false">IF(B448&lt;=0.005,0,MIN(B448+C449,MAX(Compare!$B$7,B448*Compare!$B$5+IF(Compare!$B$6="Yes",C449,0))))</f>
        <v>0</v>
      </c>
      <c r="E449" s="15" t="n">
        <f aca="false">MAX(0,E448+F449-G449)</f>
        <v>0</v>
      </c>
      <c r="F449" s="15" t="n">
        <f aca="false">IF(E448&lt;=0.005,0,E448*Compare!$B$4/12)</f>
        <v>0</v>
      </c>
      <c r="G449" s="15" t="n">
        <f aca="false">IF(E448&lt;=0.005,0,MIN(E448+F449,Compare!$B$9))</f>
        <v>0</v>
      </c>
      <c r="H449" s="15" t="n">
        <f aca="false">MAX(0,H448+I449-J449)</f>
        <v>0</v>
      </c>
      <c r="I449" s="15" t="n">
        <f aca="false">IF(H448&lt;=0.005,0,H448*Compare!$B$4/12)</f>
        <v>0</v>
      </c>
      <c r="J449" s="15" t="n">
        <f aca="false">IF(H448&lt;=0.005,0,MIN(H448+I449,Compare!$B$9+Compare!$B$8))</f>
        <v>0</v>
      </c>
    </row>
    <row r="450" customFormat="false" ht="15" hidden="false" customHeight="false" outlineLevel="0" collapsed="false">
      <c r="A450" s="3" t="n">
        <v>447</v>
      </c>
      <c r="B450" s="15" t="n">
        <f aca="false">MAX(0,B449+C450-D450)</f>
        <v>0</v>
      </c>
      <c r="C450" s="15" t="n">
        <f aca="false">IF(B449&lt;=0.005,0,B449*Compare!$B$4/12)</f>
        <v>0</v>
      </c>
      <c r="D450" s="15" t="n">
        <f aca="false">IF(B449&lt;=0.005,0,MIN(B449+C450,MAX(Compare!$B$7,B449*Compare!$B$5+IF(Compare!$B$6="Yes",C450,0))))</f>
        <v>0</v>
      </c>
      <c r="E450" s="15" t="n">
        <f aca="false">MAX(0,E449+F450-G450)</f>
        <v>0</v>
      </c>
      <c r="F450" s="15" t="n">
        <f aca="false">IF(E449&lt;=0.005,0,E449*Compare!$B$4/12)</f>
        <v>0</v>
      </c>
      <c r="G450" s="15" t="n">
        <f aca="false">IF(E449&lt;=0.005,0,MIN(E449+F450,Compare!$B$9))</f>
        <v>0</v>
      </c>
      <c r="H450" s="15" t="n">
        <f aca="false">MAX(0,H449+I450-J450)</f>
        <v>0</v>
      </c>
      <c r="I450" s="15" t="n">
        <f aca="false">IF(H449&lt;=0.005,0,H449*Compare!$B$4/12)</f>
        <v>0</v>
      </c>
      <c r="J450" s="15" t="n">
        <f aca="false">IF(H449&lt;=0.005,0,MIN(H449+I450,Compare!$B$9+Compare!$B$8))</f>
        <v>0</v>
      </c>
    </row>
    <row r="451" customFormat="false" ht="15" hidden="false" customHeight="false" outlineLevel="0" collapsed="false">
      <c r="A451" s="3" t="n">
        <v>448</v>
      </c>
      <c r="B451" s="15" t="n">
        <f aca="false">MAX(0,B450+C451-D451)</f>
        <v>0</v>
      </c>
      <c r="C451" s="15" t="n">
        <f aca="false">IF(B450&lt;=0.005,0,B450*Compare!$B$4/12)</f>
        <v>0</v>
      </c>
      <c r="D451" s="15" t="n">
        <f aca="false">IF(B450&lt;=0.005,0,MIN(B450+C451,MAX(Compare!$B$7,B450*Compare!$B$5+IF(Compare!$B$6="Yes",C451,0))))</f>
        <v>0</v>
      </c>
      <c r="E451" s="15" t="n">
        <f aca="false">MAX(0,E450+F451-G451)</f>
        <v>0</v>
      </c>
      <c r="F451" s="15" t="n">
        <f aca="false">IF(E450&lt;=0.005,0,E450*Compare!$B$4/12)</f>
        <v>0</v>
      </c>
      <c r="G451" s="15" t="n">
        <f aca="false">IF(E450&lt;=0.005,0,MIN(E450+F451,Compare!$B$9))</f>
        <v>0</v>
      </c>
      <c r="H451" s="15" t="n">
        <f aca="false">MAX(0,H450+I451-J451)</f>
        <v>0</v>
      </c>
      <c r="I451" s="15" t="n">
        <f aca="false">IF(H450&lt;=0.005,0,H450*Compare!$B$4/12)</f>
        <v>0</v>
      </c>
      <c r="J451" s="15" t="n">
        <f aca="false">IF(H450&lt;=0.005,0,MIN(H450+I451,Compare!$B$9+Compare!$B$8))</f>
        <v>0</v>
      </c>
    </row>
    <row r="452" customFormat="false" ht="15" hidden="false" customHeight="false" outlineLevel="0" collapsed="false">
      <c r="A452" s="3" t="n">
        <v>449</v>
      </c>
      <c r="B452" s="15" t="n">
        <f aca="false">MAX(0,B451+C452-D452)</f>
        <v>0</v>
      </c>
      <c r="C452" s="15" t="n">
        <f aca="false">IF(B451&lt;=0.005,0,B451*Compare!$B$4/12)</f>
        <v>0</v>
      </c>
      <c r="D452" s="15" t="n">
        <f aca="false">IF(B451&lt;=0.005,0,MIN(B451+C452,MAX(Compare!$B$7,B451*Compare!$B$5+IF(Compare!$B$6="Yes",C452,0))))</f>
        <v>0</v>
      </c>
      <c r="E452" s="15" t="n">
        <f aca="false">MAX(0,E451+F452-G452)</f>
        <v>0</v>
      </c>
      <c r="F452" s="15" t="n">
        <f aca="false">IF(E451&lt;=0.005,0,E451*Compare!$B$4/12)</f>
        <v>0</v>
      </c>
      <c r="G452" s="15" t="n">
        <f aca="false">IF(E451&lt;=0.005,0,MIN(E451+F452,Compare!$B$9))</f>
        <v>0</v>
      </c>
      <c r="H452" s="15" t="n">
        <f aca="false">MAX(0,H451+I452-J452)</f>
        <v>0</v>
      </c>
      <c r="I452" s="15" t="n">
        <f aca="false">IF(H451&lt;=0.005,0,H451*Compare!$B$4/12)</f>
        <v>0</v>
      </c>
      <c r="J452" s="15" t="n">
        <f aca="false">IF(H451&lt;=0.005,0,MIN(H451+I452,Compare!$B$9+Compare!$B$8))</f>
        <v>0</v>
      </c>
    </row>
    <row r="453" customFormat="false" ht="15" hidden="false" customHeight="false" outlineLevel="0" collapsed="false">
      <c r="A453" s="3" t="n">
        <v>450</v>
      </c>
      <c r="B453" s="15" t="n">
        <f aca="false">MAX(0,B452+C453-D453)</f>
        <v>0</v>
      </c>
      <c r="C453" s="15" t="n">
        <f aca="false">IF(B452&lt;=0.005,0,B452*Compare!$B$4/12)</f>
        <v>0</v>
      </c>
      <c r="D453" s="15" t="n">
        <f aca="false">IF(B452&lt;=0.005,0,MIN(B452+C453,MAX(Compare!$B$7,B452*Compare!$B$5+IF(Compare!$B$6="Yes",C453,0))))</f>
        <v>0</v>
      </c>
      <c r="E453" s="15" t="n">
        <f aca="false">MAX(0,E452+F453-G453)</f>
        <v>0</v>
      </c>
      <c r="F453" s="15" t="n">
        <f aca="false">IF(E452&lt;=0.005,0,E452*Compare!$B$4/12)</f>
        <v>0</v>
      </c>
      <c r="G453" s="15" t="n">
        <f aca="false">IF(E452&lt;=0.005,0,MIN(E452+F453,Compare!$B$9))</f>
        <v>0</v>
      </c>
      <c r="H453" s="15" t="n">
        <f aca="false">MAX(0,H452+I453-J453)</f>
        <v>0</v>
      </c>
      <c r="I453" s="15" t="n">
        <f aca="false">IF(H452&lt;=0.005,0,H452*Compare!$B$4/12)</f>
        <v>0</v>
      </c>
      <c r="J453" s="15" t="n">
        <f aca="false">IF(H452&lt;=0.005,0,MIN(H452+I453,Compare!$B$9+Compare!$B$8))</f>
        <v>0</v>
      </c>
    </row>
    <row r="454" customFormat="false" ht="15" hidden="false" customHeight="false" outlineLevel="0" collapsed="false">
      <c r="A454" s="3" t="n">
        <v>451</v>
      </c>
      <c r="B454" s="15" t="n">
        <f aca="false">MAX(0,B453+C454-D454)</f>
        <v>0</v>
      </c>
      <c r="C454" s="15" t="n">
        <f aca="false">IF(B453&lt;=0.005,0,B453*Compare!$B$4/12)</f>
        <v>0</v>
      </c>
      <c r="D454" s="15" t="n">
        <f aca="false">IF(B453&lt;=0.005,0,MIN(B453+C454,MAX(Compare!$B$7,B453*Compare!$B$5+IF(Compare!$B$6="Yes",C454,0))))</f>
        <v>0</v>
      </c>
      <c r="E454" s="15" t="n">
        <f aca="false">MAX(0,E453+F454-G454)</f>
        <v>0</v>
      </c>
      <c r="F454" s="15" t="n">
        <f aca="false">IF(E453&lt;=0.005,0,E453*Compare!$B$4/12)</f>
        <v>0</v>
      </c>
      <c r="G454" s="15" t="n">
        <f aca="false">IF(E453&lt;=0.005,0,MIN(E453+F454,Compare!$B$9))</f>
        <v>0</v>
      </c>
      <c r="H454" s="15" t="n">
        <f aca="false">MAX(0,H453+I454-J454)</f>
        <v>0</v>
      </c>
      <c r="I454" s="15" t="n">
        <f aca="false">IF(H453&lt;=0.005,0,H453*Compare!$B$4/12)</f>
        <v>0</v>
      </c>
      <c r="J454" s="15" t="n">
        <f aca="false">IF(H453&lt;=0.005,0,MIN(H453+I454,Compare!$B$9+Compare!$B$8))</f>
        <v>0</v>
      </c>
    </row>
    <row r="455" customFormat="false" ht="15" hidden="false" customHeight="false" outlineLevel="0" collapsed="false">
      <c r="A455" s="3" t="n">
        <v>452</v>
      </c>
      <c r="B455" s="15" t="n">
        <f aca="false">MAX(0,B454+C455-D455)</f>
        <v>0</v>
      </c>
      <c r="C455" s="15" t="n">
        <f aca="false">IF(B454&lt;=0.005,0,B454*Compare!$B$4/12)</f>
        <v>0</v>
      </c>
      <c r="D455" s="15" t="n">
        <f aca="false">IF(B454&lt;=0.005,0,MIN(B454+C455,MAX(Compare!$B$7,B454*Compare!$B$5+IF(Compare!$B$6="Yes",C455,0))))</f>
        <v>0</v>
      </c>
      <c r="E455" s="15" t="n">
        <f aca="false">MAX(0,E454+F455-G455)</f>
        <v>0</v>
      </c>
      <c r="F455" s="15" t="n">
        <f aca="false">IF(E454&lt;=0.005,0,E454*Compare!$B$4/12)</f>
        <v>0</v>
      </c>
      <c r="G455" s="15" t="n">
        <f aca="false">IF(E454&lt;=0.005,0,MIN(E454+F455,Compare!$B$9))</f>
        <v>0</v>
      </c>
      <c r="H455" s="15" t="n">
        <f aca="false">MAX(0,H454+I455-J455)</f>
        <v>0</v>
      </c>
      <c r="I455" s="15" t="n">
        <f aca="false">IF(H454&lt;=0.005,0,H454*Compare!$B$4/12)</f>
        <v>0</v>
      </c>
      <c r="J455" s="15" t="n">
        <f aca="false">IF(H454&lt;=0.005,0,MIN(H454+I455,Compare!$B$9+Compare!$B$8))</f>
        <v>0</v>
      </c>
    </row>
    <row r="456" customFormat="false" ht="15" hidden="false" customHeight="false" outlineLevel="0" collapsed="false">
      <c r="A456" s="3" t="n">
        <v>453</v>
      </c>
      <c r="B456" s="15" t="n">
        <f aca="false">MAX(0,B455+C456-D456)</f>
        <v>0</v>
      </c>
      <c r="C456" s="15" t="n">
        <f aca="false">IF(B455&lt;=0.005,0,B455*Compare!$B$4/12)</f>
        <v>0</v>
      </c>
      <c r="D456" s="15" t="n">
        <f aca="false">IF(B455&lt;=0.005,0,MIN(B455+C456,MAX(Compare!$B$7,B455*Compare!$B$5+IF(Compare!$B$6="Yes",C456,0))))</f>
        <v>0</v>
      </c>
      <c r="E456" s="15" t="n">
        <f aca="false">MAX(0,E455+F456-G456)</f>
        <v>0</v>
      </c>
      <c r="F456" s="15" t="n">
        <f aca="false">IF(E455&lt;=0.005,0,E455*Compare!$B$4/12)</f>
        <v>0</v>
      </c>
      <c r="G456" s="15" t="n">
        <f aca="false">IF(E455&lt;=0.005,0,MIN(E455+F456,Compare!$B$9))</f>
        <v>0</v>
      </c>
      <c r="H456" s="15" t="n">
        <f aca="false">MAX(0,H455+I456-J456)</f>
        <v>0</v>
      </c>
      <c r="I456" s="15" t="n">
        <f aca="false">IF(H455&lt;=0.005,0,H455*Compare!$B$4/12)</f>
        <v>0</v>
      </c>
      <c r="J456" s="15" t="n">
        <f aca="false">IF(H455&lt;=0.005,0,MIN(H455+I456,Compare!$B$9+Compare!$B$8))</f>
        <v>0</v>
      </c>
    </row>
    <row r="457" customFormat="false" ht="15" hidden="false" customHeight="false" outlineLevel="0" collapsed="false">
      <c r="A457" s="3" t="n">
        <v>454</v>
      </c>
      <c r="B457" s="15" t="n">
        <f aca="false">MAX(0,B456+C457-D457)</f>
        <v>0</v>
      </c>
      <c r="C457" s="15" t="n">
        <f aca="false">IF(B456&lt;=0.005,0,B456*Compare!$B$4/12)</f>
        <v>0</v>
      </c>
      <c r="D457" s="15" t="n">
        <f aca="false">IF(B456&lt;=0.005,0,MIN(B456+C457,MAX(Compare!$B$7,B456*Compare!$B$5+IF(Compare!$B$6="Yes",C457,0))))</f>
        <v>0</v>
      </c>
      <c r="E457" s="15" t="n">
        <f aca="false">MAX(0,E456+F457-G457)</f>
        <v>0</v>
      </c>
      <c r="F457" s="15" t="n">
        <f aca="false">IF(E456&lt;=0.005,0,E456*Compare!$B$4/12)</f>
        <v>0</v>
      </c>
      <c r="G457" s="15" t="n">
        <f aca="false">IF(E456&lt;=0.005,0,MIN(E456+F457,Compare!$B$9))</f>
        <v>0</v>
      </c>
      <c r="H457" s="15" t="n">
        <f aca="false">MAX(0,H456+I457-J457)</f>
        <v>0</v>
      </c>
      <c r="I457" s="15" t="n">
        <f aca="false">IF(H456&lt;=0.005,0,H456*Compare!$B$4/12)</f>
        <v>0</v>
      </c>
      <c r="J457" s="15" t="n">
        <f aca="false">IF(H456&lt;=0.005,0,MIN(H456+I457,Compare!$B$9+Compare!$B$8))</f>
        <v>0</v>
      </c>
    </row>
    <row r="458" customFormat="false" ht="15" hidden="false" customHeight="false" outlineLevel="0" collapsed="false">
      <c r="A458" s="3" t="n">
        <v>455</v>
      </c>
      <c r="B458" s="15" t="n">
        <f aca="false">MAX(0,B457+C458-D458)</f>
        <v>0</v>
      </c>
      <c r="C458" s="15" t="n">
        <f aca="false">IF(B457&lt;=0.005,0,B457*Compare!$B$4/12)</f>
        <v>0</v>
      </c>
      <c r="D458" s="15" t="n">
        <f aca="false">IF(B457&lt;=0.005,0,MIN(B457+C458,MAX(Compare!$B$7,B457*Compare!$B$5+IF(Compare!$B$6="Yes",C458,0))))</f>
        <v>0</v>
      </c>
      <c r="E458" s="15" t="n">
        <f aca="false">MAX(0,E457+F458-G458)</f>
        <v>0</v>
      </c>
      <c r="F458" s="15" t="n">
        <f aca="false">IF(E457&lt;=0.005,0,E457*Compare!$B$4/12)</f>
        <v>0</v>
      </c>
      <c r="G458" s="15" t="n">
        <f aca="false">IF(E457&lt;=0.005,0,MIN(E457+F458,Compare!$B$9))</f>
        <v>0</v>
      </c>
      <c r="H458" s="15" t="n">
        <f aca="false">MAX(0,H457+I458-J458)</f>
        <v>0</v>
      </c>
      <c r="I458" s="15" t="n">
        <f aca="false">IF(H457&lt;=0.005,0,H457*Compare!$B$4/12)</f>
        <v>0</v>
      </c>
      <c r="J458" s="15" t="n">
        <f aca="false">IF(H457&lt;=0.005,0,MIN(H457+I458,Compare!$B$9+Compare!$B$8))</f>
        <v>0</v>
      </c>
    </row>
    <row r="459" customFormat="false" ht="15" hidden="false" customHeight="false" outlineLevel="0" collapsed="false">
      <c r="A459" s="3" t="n">
        <v>456</v>
      </c>
      <c r="B459" s="15" t="n">
        <f aca="false">MAX(0,B458+C459-D459)</f>
        <v>0</v>
      </c>
      <c r="C459" s="15" t="n">
        <f aca="false">IF(B458&lt;=0.005,0,B458*Compare!$B$4/12)</f>
        <v>0</v>
      </c>
      <c r="D459" s="15" t="n">
        <f aca="false">IF(B458&lt;=0.005,0,MIN(B458+C459,MAX(Compare!$B$7,B458*Compare!$B$5+IF(Compare!$B$6="Yes",C459,0))))</f>
        <v>0</v>
      </c>
      <c r="E459" s="15" t="n">
        <f aca="false">MAX(0,E458+F459-G459)</f>
        <v>0</v>
      </c>
      <c r="F459" s="15" t="n">
        <f aca="false">IF(E458&lt;=0.005,0,E458*Compare!$B$4/12)</f>
        <v>0</v>
      </c>
      <c r="G459" s="15" t="n">
        <f aca="false">IF(E458&lt;=0.005,0,MIN(E458+F459,Compare!$B$9))</f>
        <v>0</v>
      </c>
      <c r="H459" s="15" t="n">
        <f aca="false">MAX(0,H458+I459-J459)</f>
        <v>0</v>
      </c>
      <c r="I459" s="15" t="n">
        <f aca="false">IF(H458&lt;=0.005,0,H458*Compare!$B$4/12)</f>
        <v>0</v>
      </c>
      <c r="J459" s="15" t="n">
        <f aca="false">IF(H458&lt;=0.005,0,MIN(H458+I459,Compare!$B$9+Compare!$B$8))</f>
        <v>0</v>
      </c>
    </row>
    <row r="460" customFormat="false" ht="15" hidden="false" customHeight="false" outlineLevel="0" collapsed="false">
      <c r="A460" s="3" t="n">
        <v>457</v>
      </c>
      <c r="B460" s="15" t="n">
        <f aca="false">MAX(0,B459+C460-D460)</f>
        <v>0</v>
      </c>
      <c r="C460" s="15" t="n">
        <f aca="false">IF(B459&lt;=0.005,0,B459*Compare!$B$4/12)</f>
        <v>0</v>
      </c>
      <c r="D460" s="15" t="n">
        <f aca="false">IF(B459&lt;=0.005,0,MIN(B459+C460,MAX(Compare!$B$7,B459*Compare!$B$5+IF(Compare!$B$6="Yes",C460,0))))</f>
        <v>0</v>
      </c>
      <c r="E460" s="15" t="n">
        <f aca="false">MAX(0,E459+F460-G460)</f>
        <v>0</v>
      </c>
      <c r="F460" s="15" t="n">
        <f aca="false">IF(E459&lt;=0.005,0,E459*Compare!$B$4/12)</f>
        <v>0</v>
      </c>
      <c r="G460" s="15" t="n">
        <f aca="false">IF(E459&lt;=0.005,0,MIN(E459+F460,Compare!$B$9))</f>
        <v>0</v>
      </c>
      <c r="H460" s="15" t="n">
        <f aca="false">MAX(0,H459+I460-J460)</f>
        <v>0</v>
      </c>
      <c r="I460" s="15" t="n">
        <f aca="false">IF(H459&lt;=0.005,0,H459*Compare!$B$4/12)</f>
        <v>0</v>
      </c>
      <c r="J460" s="15" t="n">
        <f aca="false">IF(H459&lt;=0.005,0,MIN(H459+I460,Compare!$B$9+Compare!$B$8))</f>
        <v>0</v>
      </c>
    </row>
    <row r="461" customFormat="false" ht="15" hidden="false" customHeight="false" outlineLevel="0" collapsed="false">
      <c r="A461" s="3" t="n">
        <v>458</v>
      </c>
      <c r="B461" s="15" t="n">
        <f aca="false">MAX(0,B460+C461-D461)</f>
        <v>0</v>
      </c>
      <c r="C461" s="15" t="n">
        <f aca="false">IF(B460&lt;=0.005,0,B460*Compare!$B$4/12)</f>
        <v>0</v>
      </c>
      <c r="D461" s="15" t="n">
        <f aca="false">IF(B460&lt;=0.005,0,MIN(B460+C461,MAX(Compare!$B$7,B460*Compare!$B$5+IF(Compare!$B$6="Yes",C461,0))))</f>
        <v>0</v>
      </c>
      <c r="E461" s="15" t="n">
        <f aca="false">MAX(0,E460+F461-G461)</f>
        <v>0</v>
      </c>
      <c r="F461" s="15" t="n">
        <f aca="false">IF(E460&lt;=0.005,0,E460*Compare!$B$4/12)</f>
        <v>0</v>
      </c>
      <c r="G461" s="15" t="n">
        <f aca="false">IF(E460&lt;=0.005,0,MIN(E460+F461,Compare!$B$9))</f>
        <v>0</v>
      </c>
      <c r="H461" s="15" t="n">
        <f aca="false">MAX(0,H460+I461-J461)</f>
        <v>0</v>
      </c>
      <c r="I461" s="15" t="n">
        <f aca="false">IF(H460&lt;=0.005,0,H460*Compare!$B$4/12)</f>
        <v>0</v>
      </c>
      <c r="J461" s="15" t="n">
        <f aca="false">IF(H460&lt;=0.005,0,MIN(H460+I461,Compare!$B$9+Compare!$B$8))</f>
        <v>0</v>
      </c>
    </row>
    <row r="462" customFormat="false" ht="15" hidden="false" customHeight="false" outlineLevel="0" collapsed="false">
      <c r="A462" s="3" t="n">
        <v>459</v>
      </c>
      <c r="B462" s="15" t="n">
        <f aca="false">MAX(0,B461+C462-D462)</f>
        <v>0</v>
      </c>
      <c r="C462" s="15" t="n">
        <f aca="false">IF(B461&lt;=0.005,0,B461*Compare!$B$4/12)</f>
        <v>0</v>
      </c>
      <c r="D462" s="15" t="n">
        <f aca="false">IF(B461&lt;=0.005,0,MIN(B461+C462,MAX(Compare!$B$7,B461*Compare!$B$5+IF(Compare!$B$6="Yes",C462,0))))</f>
        <v>0</v>
      </c>
      <c r="E462" s="15" t="n">
        <f aca="false">MAX(0,E461+F462-G462)</f>
        <v>0</v>
      </c>
      <c r="F462" s="15" t="n">
        <f aca="false">IF(E461&lt;=0.005,0,E461*Compare!$B$4/12)</f>
        <v>0</v>
      </c>
      <c r="G462" s="15" t="n">
        <f aca="false">IF(E461&lt;=0.005,0,MIN(E461+F462,Compare!$B$9))</f>
        <v>0</v>
      </c>
      <c r="H462" s="15" t="n">
        <f aca="false">MAX(0,H461+I462-J462)</f>
        <v>0</v>
      </c>
      <c r="I462" s="15" t="n">
        <f aca="false">IF(H461&lt;=0.005,0,H461*Compare!$B$4/12)</f>
        <v>0</v>
      </c>
      <c r="J462" s="15" t="n">
        <f aca="false">IF(H461&lt;=0.005,0,MIN(H461+I462,Compare!$B$9+Compare!$B$8))</f>
        <v>0</v>
      </c>
    </row>
    <row r="463" customFormat="false" ht="15" hidden="false" customHeight="false" outlineLevel="0" collapsed="false">
      <c r="A463" s="3" t="n">
        <v>460</v>
      </c>
      <c r="B463" s="15" t="n">
        <f aca="false">MAX(0,B462+C463-D463)</f>
        <v>0</v>
      </c>
      <c r="C463" s="15" t="n">
        <f aca="false">IF(B462&lt;=0.005,0,B462*Compare!$B$4/12)</f>
        <v>0</v>
      </c>
      <c r="D463" s="15" t="n">
        <f aca="false">IF(B462&lt;=0.005,0,MIN(B462+C463,MAX(Compare!$B$7,B462*Compare!$B$5+IF(Compare!$B$6="Yes",C463,0))))</f>
        <v>0</v>
      </c>
      <c r="E463" s="15" t="n">
        <f aca="false">MAX(0,E462+F463-G463)</f>
        <v>0</v>
      </c>
      <c r="F463" s="15" t="n">
        <f aca="false">IF(E462&lt;=0.005,0,E462*Compare!$B$4/12)</f>
        <v>0</v>
      </c>
      <c r="G463" s="15" t="n">
        <f aca="false">IF(E462&lt;=0.005,0,MIN(E462+F463,Compare!$B$9))</f>
        <v>0</v>
      </c>
      <c r="H463" s="15" t="n">
        <f aca="false">MAX(0,H462+I463-J463)</f>
        <v>0</v>
      </c>
      <c r="I463" s="15" t="n">
        <f aca="false">IF(H462&lt;=0.005,0,H462*Compare!$B$4/12)</f>
        <v>0</v>
      </c>
      <c r="J463" s="15" t="n">
        <f aca="false">IF(H462&lt;=0.005,0,MIN(H462+I463,Compare!$B$9+Compare!$B$8))</f>
        <v>0</v>
      </c>
    </row>
    <row r="464" customFormat="false" ht="15" hidden="false" customHeight="false" outlineLevel="0" collapsed="false">
      <c r="A464" s="3" t="n">
        <v>461</v>
      </c>
      <c r="B464" s="15" t="n">
        <f aca="false">MAX(0,B463+C464-D464)</f>
        <v>0</v>
      </c>
      <c r="C464" s="15" t="n">
        <f aca="false">IF(B463&lt;=0.005,0,B463*Compare!$B$4/12)</f>
        <v>0</v>
      </c>
      <c r="D464" s="15" t="n">
        <f aca="false">IF(B463&lt;=0.005,0,MIN(B463+C464,MAX(Compare!$B$7,B463*Compare!$B$5+IF(Compare!$B$6="Yes",C464,0))))</f>
        <v>0</v>
      </c>
      <c r="E464" s="15" t="n">
        <f aca="false">MAX(0,E463+F464-G464)</f>
        <v>0</v>
      </c>
      <c r="F464" s="15" t="n">
        <f aca="false">IF(E463&lt;=0.005,0,E463*Compare!$B$4/12)</f>
        <v>0</v>
      </c>
      <c r="G464" s="15" t="n">
        <f aca="false">IF(E463&lt;=0.005,0,MIN(E463+F464,Compare!$B$9))</f>
        <v>0</v>
      </c>
      <c r="H464" s="15" t="n">
        <f aca="false">MAX(0,H463+I464-J464)</f>
        <v>0</v>
      </c>
      <c r="I464" s="15" t="n">
        <f aca="false">IF(H463&lt;=0.005,0,H463*Compare!$B$4/12)</f>
        <v>0</v>
      </c>
      <c r="J464" s="15" t="n">
        <f aca="false">IF(H463&lt;=0.005,0,MIN(H463+I464,Compare!$B$9+Compare!$B$8))</f>
        <v>0</v>
      </c>
    </row>
    <row r="465" customFormat="false" ht="15" hidden="false" customHeight="false" outlineLevel="0" collapsed="false">
      <c r="A465" s="3" t="n">
        <v>462</v>
      </c>
      <c r="B465" s="15" t="n">
        <f aca="false">MAX(0,B464+C465-D465)</f>
        <v>0</v>
      </c>
      <c r="C465" s="15" t="n">
        <f aca="false">IF(B464&lt;=0.005,0,B464*Compare!$B$4/12)</f>
        <v>0</v>
      </c>
      <c r="D465" s="15" t="n">
        <f aca="false">IF(B464&lt;=0.005,0,MIN(B464+C465,MAX(Compare!$B$7,B464*Compare!$B$5+IF(Compare!$B$6="Yes",C465,0))))</f>
        <v>0</v>
      </c>
      <c r="E465" s="15" t="n">
        <f aca="false">MAX(0,E464+F465-G465)</f>
        <v>0</v>
      </c>
      <c r="F465" s="15" t="n">
        <f aca="false">IF(E464&lt;=0.005,0,E464*Compare!$B$4/12)</f>
        <v>0</v>
      </c>
      <c r="G465" s="15" t="n">
        <f aca="false">IF(E464&lt;=0.005,0,MIN(E464+F465,Compare!$B$9))</f>
        <v>0</v>
      </c>
      <c r="H465" s="15" t="n">
        <f aca="false">MAX(0,H464+I465-J465)</f>
        <v>0</v>
      </c>
      <c r="I465" s="15" t="n">
        <f aca="false">IF(H464&lt;=0.005,0,H464*Compare!$B$4/12)</f>
        <v>0</v>
      </c>
      <c r="J465" s="15" t="n">
        <f aca="false">IF(H464&lt;=0.005,0,MIN(H464+I465,Compare!$B$9+Compare!$B$8))</f>
        <v>0</v>
      </c>
    </row>
    <row r="466" customFormat="false" ht="15" hidden="false" customHeight="false" outlineLevel="0" collapsed="false">
      <c r="A466" s="3" t="n">
        <v>463</v>
      </c>
      <c r="B466" s="15" t="n">
        <f aca="false">MAX(0,B465+C466-D466)</f>
        <v>0</v>
      </c>
      <c r="C466" s="15" t="n">
        <f aca="false">IF(B465&lt;=0.005,0,B465*Compare!$B$4/12)</f>
        <v>0</v>
      </c>
      <c r="D466" s="15" t="n">
        <f aca="false">IF(B465&lt;=0.005,0,MIN(B465+C466,MAX(Compare!$B$7,B465*Compare!$B$5+IF(Compare!$B$6="Yes",C466,0))))</f>
        <v>0</v>
      </c>
      <c r="E466" s="15" t="n">
        <f aca="false">MAX(0,E465+F466-G466)</f>
        <v>0</v>
      </c>
      <c r="F466" s="15" t="n">
        <f aca="false">IF(E465&lt;=0.005,0,E465*Compare!$B$4/12)</f>
        <v>0</v>
      </c>
      <c r="G466" s="15" t="n">
        <f aca="false">IF(E465&lt;=0.005,0,MIN(E465+F466,Compare!$B$9))</f>
        <v>0</v>
      </c>
      <c r="H466" s="15" t="n">
        <f aca="false">MAX(0,H465+I466-J466)</f>
        <v>0</v>
      </c>
      <c r="I466" s="15" t="n">
        <f aca="false">IF(H465&lt;=0.005,0,H465*Compare!$B$4/12)</f>
        <v>0</v>
      </c>
      <c r="J466" s="15" t="n">
        <f aca="false">IF(H465&lt;=0.005,0,MIN(H465+I466,Compare!$B$9+Compare!$B$8))</f>
        <v>0</v>
      </c>
    </row>
    <row r="467" customFormat="false" ht="15" hidden="false" customHeight="false" outlineLevel="0" collapsed="false">
      <c r="A467" s="3" t="n">
        <v>464</v>
      </c>
      <c r="B467" s="15" t="n">
        <f aca="false">MAX(0,B466+C467-D467)</f>
        <v>0</v>
      </c>
      <c r="C467" s="15" t="n">
        <f aca="false">IF(B466&lt;=0.005,0,B466*Compare!$B$4/12)</f>
        <v>0</v>
      </c>
      <c r="D467" s="15" t="n">
        <f aca="false">IF(B466&lt;=0.005,0,MIN(B466+C467,MAX(Compare!$B$7,B466*Compare!$B$5+IF(Compare!$B$6="Yes",C467,0))))</f>
        <v>0</v>
      </c>
      <c r="E467" s="15" t="n">
        <f aca="false">MAX(0,E466+F467-G467)</f>
        <v>0</v>
      </c>
      <c r="F467" s="15" t="n">
        <f aca="false">IF(E466&lt;=0.005,0,E466*Compare!$B$4/12)</f>
        <v>0</v>
      </c>
      <c r="G467" s="15" t="n">
        <f aca="false">IF(E466&lt;=0.005,0,MIN(E466+F467,Compare!$B$9))</f>
        <v>0</v>
      </c>
      <c r="H467" s="15" t="n">
        <f aca="false">MAX(0,H466+I467-J467)</f>
        <v>0</v>
      </c>
      <c r="I467" s="15" t="n">
        <f aca="false">IF(H466&lt;=0.005,0,H466*Compare!$B$4/12)</f>
        <v>0</v>
      </c>
      <c r="J467" s="15" t="n">
        <f aca="false">IF(H466&lt;=0.005,0,MIN(H466+I467,Compare!$B$9+Compare!$B$8))</f>
        <v>0</v>
      </c>
    </row>
    <row r="468" customFormat="false" ht="15" hidden="false" customHeight="false" outlineLevel="0" collapsed="false">
      <c r="A468" s="3" t="n">
        <v>465</v>
      </c>
      <c r="B468" s="15" t="n">
        <f aca="false">MAX(0,B467+C468-D468)</f>
        <v>0</v>
      </c>
      <c r="C468" s="15" t="n">
        <f aca="false">IF(B467&lt;=0.005,0,B467*Compare!$B$4/12)</f>
        <v>0</v>
      </c>
      <c r="D468" s="15" t="n">
        <f aca="false">IF(B467&lt;=0.005,0,MIN(B467+C468,MAX(Compare!$B$7,B467*Compare!$B$5+IF(Compare!$B$6="Yes",C468,0))))</f>
        <v>0</v>
      </c>
      <c r="E468" s="15" t="n">
        <f aca="false">MAX(0,E467+F468-G468)</f>
        <v>0</v>
      </c>
      <c r="F468" s="15" t="n">
        <f aca="false">IF(E467&lt;=0.005,0,E467*Compare!$B$4/12)</f>
        <v>0</v>
      </c>
      <c r="G468" s="15" t="n">
        <f aca="false">IF(E467&lt;=0.005,0,MIN(E467+F468,Compare!$B$9))</f>
        <v>0</v>
      </c>
      <c r="H468" s="15" t="n">
        <f aca="false">MAX(0,H467+I468-J468)</f>
        <v>0</v>
      </c>
      <c r="I468" s="15" t="n">
        <f aca="false">IF(H467&lt;=0.005,0,H467*Compare!$B$4/12)</f>
        <v>0</v>
      </c>
      <c r="J468" s="15" t="n">
        <f aca="false">IF(H467&lt;=0.005,0,MIN(H467+I468,Compare!$B$9+Compare!$B$8))</f>
        <v>0</v>
      </c>
    </row>
    <row r="469" customFormat="false" ht="15" hidden="false" customHeight="false" outlineLevel="0" collapsed="false">
      <c r="A469" s="3" t="n">
        <v>466</v>
      </c>
      <c r="B469" s="15" t="n">
        <f aca="false">MAX(0,B468+C469-D469)</f>
        <v>0</v>
      </c>
      <c r="C469" s="15" t="n">
        <f aca="false">IF(B468&lt;=0.005,0,B468*Compare!$B$4/12)</f>
        <v>0</v>
      </c>
      <c r="D469" s="15" t="n">
        <f aca="false">IF(B468&lt;=0.005,0,MIN(B468+C469,MAX(Compare!$B$7,B468*Compare!$B$5+IF(Compare!$B$6="Yes",C469,0))))</f>
        <v>0</v>
      </c>
      <c r="E469" s="15" t="n">
        <f aca="false">MAX(0,E468+F469-G469)</f>
        <v>0</v>
      </c>
      <c r="F469" s="15" t="n">
        <f aca="false">IF(E468&lt;=0.005,0,E468*Compare!$B$4/12)</f>
        <v>0</v>
      </c>
      <c r="G469" s="15" t="n">
        <f aca="false">IF(E468&lt;=0.005,0,MIN(E468+F469,Compare!$B$9))</f>
        <v>0</v>
      </c>
      <c r="H469" s="15" t="n">
        <f aca="false">MAX(0,H468+I469-J469)</f>
        <v>0</v>
      </c>
      <c r="I469" s="15" t="n">
        <f aca="false">IF(H468&lt;=0.005,0,H468*Compare!$B$4/12)</f>
        <v>0</v>
      </c>
      <c r="J469" s="15" t="n">
        <f aca="false">IF(H468&lt;=0.005,0,MIN(H468+I469,Compare!$B$9+Compare!$B$8))</f>
        <v>0</v>
      </c>
    </row>
    <row r="470" customFormat="false" ht="15" hidden="false" customHeight="false" outlineLevel="0" collapsed="false">
      <c r="A470" s="3" t="n">
        <v>467</v>
      </c>
      <c r="B470" s="15" t="n">
        <f aca="false">MAX(0,B469+C470-D470)</f>
        <v>0</v>
      </c>
      <c r="C470" s="15" t="n">
        <f aca="false">IF(B469&lt;=0.005,0,B469*Compare!$B$4/12)</f>
        <v>0</v>
      </c>
      <c r="D470" s="15" t="n">
        <f aca="false">IF(B469&lt;=0.005,0,MIN(B469+C470,MAX(Compare!$B$7,B469*Compare!$B$5+IF(Compare!$B$6="Yes",C470,0))))</f>
        <v>0</v>
      </c>
      <c r="E470" s="15" t="n">
        <f aca="false">MAX(0,E469+F470-G470)</f>
        <v>0</v>
      </c>
      <c r="F470" s="15" t="n">
        <f aca="false">IF(E469&lt;=0.005,0,E469*Compare!$B$4/12)</f>
        <v>0</v>
      </c>
      <c r="G470" s="15" t="n">
        <f aca="false">IF(E469&lt;=0.005,0,MIN(E469+F470,Compare!$B$9))</f>
        <v>0</v>
      </c>
      <c r="H470" s="15" t="n">
        <f aca="false">MAX(0,H469+I470-J470)</f>
        <v>0</v>
      </c>
      <c r="I470" s="15" t="n">
        <f aca="false">IF(H469&lt;=0.005,0,H469*Compare!$B$4/12)</f>
        <v>0</v>
      </c>
      <c r="J470" s="15" t="n">
        <f aca="false">IF(H469&lt;=0.005,0,MIN(H469+I470,Compare!$B$9+Compare!$B$8))</f>
        <v>0</v>
      </c>
    </row>
    <row r="471" customFormat="false" ht="15" hidden="false" customHeight="false" outlineLevel="0" collapsed="false">
      <c r="A471" s="3" t="n">
        <v>468</v>
      </c>
      <c r="B471" s="15" t="n">
        <f aca="false">MAX(0,B470+C471-D471)</f>
        <v>0</v>
      </c>
      <c r="C471" s="15" t="n">
        <f aca="false">IF(B470&lt;=0.005,0,B470*Compare!$B$4/12)</f>
        <v>0</v>
      </c>
      <c r="D471" s="15" t="n">
        <f aca="false">IF(B470&lt;=0.005,0,MIN(B470+C471,MAX(Compare!$B$7,B470*Compare!$B$5+IF(Compare!$B$6="Yes",C471,0))))</f>
        <v>0</v>
      </c>
      <c r="E471" s="15" t="n">
        <f aca="false">MAX(0,E470+F471-G471)</f>
        <v>0</v>
      </c>
      <c r="F471" s="15" t="n">
        <f aca="false">IF(E470&lt;=0.005,0,E470*Compare!$B$4/12)</f>
        <v>0</v>
      </c>
      <c r="G471" s="15" t="n">
        <f aca="false">IF(E470&lt;=0.005,0,MIN(E470+F471,Compare!$B$9))</f>
        <v>0</v>
      </c>
      <c r="H471" s="15" t="n">
        <f aca="false">MAX(0,H470+I471-J471)</f>
        <v>0</v>
      </c>
      <c r="I471" s="15" t="n">
        <f aca="false">IF(H470&lt;=0.005,0,H470*Compare!$B$4/12)</f>
        <v>0</v>
      </c>
      <c r="J471" s="15" t="n">
        <f aca="false">IF(H470&lt;=0.005,0,MIN(H470+I471,Compare!$B$9+Compare!$B$8))</f>
        <v>0</v>
      </c>
    </row>
    <row r="472" customFormat="false" ht="15" hidden="false" customHeight="false" outlineLevel="0" collapsed="false">
      <c r="A472" s="3" t="n">
        <v>469</v>
      </c>
      <c r="B472" s="15" t="n">
        <f aca="false">MAX(0,B471+C472-D472)</f>
        <v>0</v>
      </c>
      <c r="C472" s="15" t="n">
        <f aca="false">IF(B471&lt;=0.005,0,B471*Compare!$B$4/12)</f>
        <v>0</v>
      </c>
      <c r="D472" s="15" t="n">
        <f aca="false">IF(B471&lt;=0.005,0,MIN(B471+C472,MAX(Compare!$B$7,B471*Compare!$B$5+IF(Compare!$B$6="Yes",C472,0))))</f>
        <v>0</v>
      </c>
      <c r="E472" s="15" t="n">
        <f aca="false">MAX(0,E471+F472-G472)</f>
        <v>0</v>
      </c>
      <c r="F472" s="15" t="n">
        <f aca="false">IF(E471&lt;=0.005,0,E471*Compare!$B$4/12)</f>
        <v>0</v>
      </c>
      <c r="G472" s="15" t="n">
        <f aca="false">IF(E471&lt;=0.005,0,MIN(E471+F472,Compare!$B$9))</f>
        <v>0</v>
      </c>
      <c r="H472" s="15" t="n">
        <f aca="false">MAX(0,H471+I472-J472)</f>
        <v>0</v>
      </c>
      <c r="I472" s="15" t="n">
        <f aca="false">IF(H471&lt;=0.005,0,H471*Compare!$B$4/12)</f>
        <v>0</v>
      </c>
      <c r="J472" s="15" t="n">
        <f aca="false">IF(H471&lt;=0.005,0,MIN(H471+I472,Compare!$B$9+Compare!$B$8))</f>
        <v>0</v>
      </c>
    </row>
    <row r="473" customFormat="false" ht="15" hidden="false" customHeight="false" outlineLevel="0" collapsed="false">
      <c r="A473" s="3" t="n">
        <v>470</v>
      </c>
      <c r="B473" s="15" t="n">
        <f aca="false">MAX(0,B472+C473-D473)</f>
        <v>0</v>
      </c>
      <c r="C473" s="15" t="n">
        <f aca="false">IF(B472&lt;=0.005,0,B472*Compare!$B$4/12)</f>
        <v>0</v>
      </c>
      <c r="D473" s="15" t="n">
        <f aca="false">IF(B472&lt;=0.005,0,MIN(B472+C473,MAX(Compare!$B$7,B472*Compare!$B$5+IF(Compare!$B$6="Yes",C473,0))))</f>
        <v>0</v>
      </c>
      <c r="E473" s="15" t="n">
        <f aca="false">MAX(0,E472+F473-G473)</f>
        <v>0</v>
      </c>
      <c r="F473" s="15" t="n">
        <f aca="false">IF(E472&lt;=0.005,0,E472*Compare!$B$4/12)</f>
        <v>0</v>
      </c>
      <c r="G473" s="15" t="n">
        <f aca="false">IF(E472&lt;=0.005,0,MIN(E472+F473,Compare!$B$9))</f>
        <v>0</v>
      </c>
      <c r="H473" s="15" t="n">
        <f aca="false">MAX(0,H472+I473-J473)</f>
        <v>0</v>
      </c>
      <c r="I473" s="15" t="n">
        <f aca="false">IF(H472&lt;=0.005,0,H472*Compare!$B$4/12)</f>
        <v>0</v>
      </c>
      <c r="J473" s="15" t="n">
        <f aca="false">IF(H472&lt;=0.005,0,MIN(H472+I473,Compare!$B$9+Compare!$B$8))</f>
        <v>0</v>
      </c>
    </row>
    <row r="474" customFormat="false" ht="15" hidden="false" customHeight="false" outlineLevel="0" collapsed="false">
      <c r="A474" s="3" t="n">
        <v>471</v>
      </c>
      <c r="B474" s="15" t="n">
        <f aca="false">MAX(0,B473+C474-D474)</f>
        <v>0</v>
      </c>
      <c r="C474" s="15" t="n">
        <f aca="false">IF(B473&lt;=0.005,0,B473*Compare!$B$4/12)</f>
        <v>0</v>
      </c>
      <c r="D474" s="15" t="n">
        <f aca="false">IF(B473&lt;=0.005,0,MIN(B473+C474,MAX(Compare!$B$7,B473*Compare!$B$5+IF(Compare!$B$6="Yes",C474,0))))</f>
        <v>0</v>
      </c>
      <c r="E474" s="15" t="n">
        <f aca="false">MAX(0,E473+F474-G474)</f>
        <v>0</v>
      </c>
      <c r="F474" s="15" t="n">
        <f aca="false">IF(E473&lt;=0.005,0,E473*Compare!$B$4/12)</f>
        <v>0</v>
      </c>
      <c r="G474" s="15" t="n">
        <f aca="false">IF(E473&lt;=0.005,0,MIN(E473+F474,Compare!$B$9))</f>
        <v>0</v>
      </c>
      <c r="H474" s="15" t="n">
        <f aca="false">MAX(0,H473+I474-J474)</f>
        <v>0</v>
      </c>
      <c r="I474" s="15" t="n">
        <f aca="false">IF(H473&lt;=0.005,0,H473*Compare!$B$4/12)</f>
        <v>0</v>
      </c>
      <c r="J474" s="15" t="n">
        <f aca="false">IF(H473&lt;=0.005,0,MIN(H473+I474,Compare!$B$9+Compare!$B$8))</f>
        <v>0</v>
      </c>
    </row>
    <row r="475" customFormat="false" ht="15" hidden="false" customHeight="false" outlineLevel="0" collapsed="false">
      <c r="A475" s="3" t="n">
        <v>472</v>
      </c>
      <c r="B475" s="15" t="n">
        <f aca="false">MAX(0,B474+C475-D475)</f>
        <v>0</v>
      </c>
      <c r="C475" s="15" t="n">
        <f aca="false">IF(B474&lt;=0.005,0,B474*Compare!$B$4/12)</f>
        <v>0</v>
      </c>
      <c r="D475" s="15" t="n">
        <f aca="false">IF(B474&lt;=0.005,0,MIN(B474+C475,MAX(Compare!$B$7,B474*Compare!$B$5+IF(Compare!$B$6="Yes",C475,0))))</f>
        <v>0</v>
      </c>
      <c r="E475" s="15" t="n">
        <f aca="false">MAX(0,E474+F475-G475)</f>
        <v>0</v>
      </c>
      <c r="F475" s="15" t="n">
        <f aca="false">IF(E474&lt;=0.005,0,E474*Compare!$B$4/12)</f>
        <v>0</v>
      </c>
      <c r="G475" s="15" t="n">
        <f aca="false">IF(E474&lt;=0.005,0,MIN(E474+F475,Compare!$B$9))</f>
        <v>0</v>
      </c>
      <c r="H475" s="15" t="n">
        <f aca="false">MAX(0,H474+I475-J475)</f>
        <v>0</v>
      </c>
      <c r="I475" s="15" t="n">
        <f aca="false">IF(H474&lt;=0.005,0,H474*Compare!$B$4/12)</f>
        <v>0</v>
      </c>
      <c r="J475" s="15" t="n">
        <f aca="false">IF(H474&lt;=0.005,0,MIN(H474+I475,Compare!$B$9+Compare!$B$8))</f>
        <v>0</v>
      </c>
    </row>
    <row r="476" customFormat="false" ht="15" hidden="false" customHeight="false" outlineLevel="0" collapsed="false">
      <c r="A476" s="3" t="n">
        <v>473</v>
      </c>
      <c r="B476" s="15" t="n">
        <f aca="false">MAX(0,B475+C476-D476)</f>
        <v>0</v>
      </c>
      <c r="C476" s="15" t="n">
        <f aca="false">IF(B475&lt;=0.005,0,B475*Compare!$B$4/12)</f>
        <v>0</v>
      </c>
      <c r="D476" s="15" t="n">
        <f aca="false">IF(B475&lt;=0.005,0,MIN(B475+C476,MAX(Compare!$B$7,B475*Compare!$B$5+IF(Compare!$B$6="Yes",C476,0))))</f>
        <v>0</v>
      </c>
      <c r="E476" s="15" t="n">
        <f aca="false">MAX(0,E475+F476-G476)</f>
        <v>0</v>
      </c>
      <c r="F476" s="15" t="n">
        <f aca="false">IF(E475&lt;=0.005,0,E475*Compare!$B$4/12)</f>
        <v>0</v>
      </c>
      <c r="G476" s="15" t="n">
        <f aca="false">IF(E475&lt;=0.005,0,MIN(E475+F476,Compare!$B$9))</f>
        <v>0</v>
      </c>
      <c r="H476" s="15" t="n">
        <f aca="false">MAX(0,H475+I476-J476)</f>
        <v>0</v>
      </c>
      <c r="I476" s="15" t="n">
        <f aca="false">IF(H475&lt;=0.005,0,H475*Compare!$B$4/12)</f>
        <v>0</v>
      </c>
      <c r="J476" s="15" t="n">
        <f aca="false">IF(H475&lt;=0.005,0,MIN(H475+I476,Compare!$B$9+Compare!$B$8))</f>
        <v>0</v>
      </c>
    </row>
    <row r="477" customFormat="false" ht="15" hidden="false" customHeight="false" outlineLevel="0" collapsed="false">
      <c r="A477" s="3" t="n">
        <v>474</v>
      </c>
      <c r="B477" s="15" t="n">
        <f aca="false">MAX(0,B476+C477-D477)</f>
        <v>0</v>
      </c>
      <c r="C477" s="15" t="n">
        <f aca="false">IF(B476&lt;=0.005,0,B476*Compare!$B$4/12)</f>
        <v>0</v>
      </c>
      <c r="D477" s="15" t="n">
        <f aca="false">IF(B476&lt;=0.005,0,MIN(B476+C477,MAX(Compare!$B$7,B476*Compare!$B$5+IF(Compare!$B$6="Yes",C477,0))))</f>
        <v>0</v>
      </c>
      <c r="E477" s="15" t="n">
        <f aca="false">MAX(0,E476+F477-G477)</f>
        <v>0</v>
      </c>
      <c r="F477" s="15" t="n">
        <f aca="false">IF(E476&lt;=0.005,0,E476*Compare!$B$4/12)</f>
        <v>0</v>
      </c>
      <c r="G477" s="15" t="n">
        <f aca="false">IF(E476&lt;=0.005,0,MIN(E476+F477,Compare!$B$9))</f>
        <v>0</v>
      </c>
      <c r="H477" s="15" t="n">
        <f aca="false">MAX(0,H476+I477-J477)</f>
        <v>0</v>
      </c>
      <c r="I477" s="15" t="n">
        <f aca="false">IF(H476&lt;=0.005,0,H476*Compare!$B$4/12)</f>
        <v>0</v>
      </c>
      <c r="J477" s="15" t="n">
        <f aca="false">IF(H476&lt;=0.005,0,MIN(H476+I477,Compare!$B$9+Compare!$B$8))</f>
        <v>0</v>
      </c>
    </row>
    <row r="478" customFormat="false" ht="15" hidden="false" customHeight="false" outlineLevel="0" collapsed="false">
      <c r="A478" s="3" t="n">
        <v>475</v>
      </c>
      <c r="B478" s="15" t="n">
        <f aca="false">MAX(0,B477+C478-D478)</f>
        <v>0</v>
      </c>
      <c r="C478" s="15" t="n">
        <f aca="false">IF(B477&lt;=0.005,0,B477*Compare!$B$4/12)</f>
        <v>0</v>
      </c>
      <c r="D478" s="15" t="n">
        <f aca="false">IF(B477&lt;=0.005,0,MIN(B477+C478,MAX(Compare!$B$7,B477*Compare!$B$5+IF(Compare!$B$6="Yes",C478,0))))</f>
        <v>0</v>
      </c>
      <c r="E478" s="15" t="n">
        <f aca="false">MAX(0,E477+F478-G478)</f>
        <v>0</v>
      </c>
      <c r="F478" s="15" t="n">
        <f aca="false">IF(E477&lt;=0.005,0,E477*Compare!$B$4/12)</f>
        <v>0</v>
      </c>
      <c r="G478" s="15" t="n">
        <f aca="false">IF(E477&lt;=0.005,0,MIN(E477+F478,Compare!$B$9))</f>
        <v>0</v>
      </c>
      <c r="H478" s="15" t="n">
        <f aca="false">MAX(0,H477+I478-J478)</f>
        <v>0</v>
      </c>
      <c r="I478" s="15" t="n">
        <f aca="false">IF(H477&lt;=0.005,0,H477*Compare!$B$4/12)</f>
        <v>0</v>
      </c>
      <c r="J478" s="15" t="n">
        <f aca="false">IF(H477&lt;=0.005,0,MIN(H477+I478,Compare!$B$9+Compare!$B$8))</f>
        <v>0</v>
      </c>
    </row>
    <row r="479" customFormat="false" ht="15" hidden="false" customHeight="false" outlineLevel="0" collapsed="false">
      <c r="A479" s="3" t="n">
        <v>476</v>
      </c>
      <c r="B479" s="15" t="n">
        <f aca="false">MAX(0,B478+C479-D479)</f>
        <v>0</v>
      </c>
      <c r="C479" s="15" t="n">
        <f aca="false">IF(B478&lt;=0.005,0,B478*Compare!$B$4/12)</f>
        <v>0</v>
      </c>
      <c r="D479" s="15" t="n">
        <f aca="false">IF(B478&lt;=0.005,0,MIN(B478+C479,MAX(Compare!$B$7,B478*Compare!$B$5+IF(Compare!$B$6="Yes",C479,0))))</f>
        <v>0</v>
      </c>
      <c r="E479" s="15" t="n">
        <f aca="false">MAX(0,E478+F479-G479)</f>
        <v>0</v>
      </c>
      <c r="F479" s="15" t="n">
        <f aca="false">IF(E478&lt;=0.005,0,E478*Compare!$B$4/12)</f>
        <v>0</v>
      </c>
      <c r="G479" s="15" t="n">
        <f aca="false">IF(E478&lt;=0.005,0,MIN(E478+F479,Compare!$B$9))</f>
        <v>0</v>
      </c>
      <c r="H479" s="15" t="n">
        <f aca="false">MAX(0,H478+I479-J479)</f>
        <v>0</v>
      </c>
      <c r="I479" s="15" t="n">
        <f aca="false">IF(H478&lt;=0.005,0,H478*Compare!$B$4/12)</f>
        <v>0</v>
      </c>
      <c r="J479" s="15" t="n">
        <f aca="false">IF(H478&lt;=0.005,0,MIN(H478+I479,Compare!$B$9+Compare!$B$8))</f>
        <v>0</v>
      </c>
    </row>
    <row r="480" customFormat="false" ht="15" hidden="false" customHeight="false" outlineLevel="0" collapsed="false">
      <c r="A480" s="3" t="n">
        <v>477</v>
      </c>
      <c r="B480" s="15" t="n">
        <f aca="false">MAX(0,B479+C480-D480)</f>
        <v>0</v>
      </c>
      <c r="C480" s="15" t="n">
        <f aca="false">IF(B479&lt;=0.005,0,B479*Compare!$B$4/12)</f>
        <v>0</v>
      </c>
      <c r="D480" s="15" t="n">
        <f aca="false">IF(B479&lt;=0.005,0,MIN(B479+C480,MAX(Compare!$B$7,B479*Compare!$B$5+IF(Compare!$B$6="Yes",C480,0))))</f>
        <v>0</v>
      </c>
      <c r="E480" s="15" t="n">
        <f aca="false">MAX(0,E479+F480-G480)</f>
        <v>0</v>
      </c>
      <c r="F480" s="15" t="n">
        <f aca="false">IF(E479&lt;=0.005,0,E479*Compare!$B$4/12)</f>
        <v>0</v>
      </c>
      <c r="G480" s="15" t="n">
        <f aca="false">IF(E479&lt;=0.005,0,MIN(E479+F480,Compare!$B$9))</f>
        <v>0</v>
      </c>
      <c r="H480" s="15" t="n">
        <f aca="false">MAX(0,H479+I480-J480)</f>
        <v>0</v>
      </c>
      <c r="I480" s="15" t="n">
        <f aca="false">IF(H479&lt;=0.005,0,H479*Compare!$B$4/12)</f>
        <v>0</v>
      </c>
      <c r="J480" s="15" t="n">
        <f aca="false">IF(H479&lt;=0.005,0,MIN(H479+I480,Compare!$B$9+Compare!$B$8))</f>
        <v>0</v>
      </c>
    </row>
    <row r="481" customFormat="false" ht="15" hidden="false" customHeight="false" outlineLevel="0" collapsed="false">
      <c r="A481" s="3" t="n">
        <v>478</v>
      </c>
      <c r="B481" s="15" t="n">
        <f aca="false">MAX(0,B480+C481-D481)</f>
        <v>0</v>
      </c>
      <c r="C481" s="15" t="n">
        <f aca="false">IF(B480&lt;=0.005,0,B480*Compare!$B$4/12)</f>
        <v>0</v>
      </c>
      <c r="D481" s="15" t="n">
        <f aca="false">IF(B480&lt;=0.005,0,MIN(B480+C481,MAX(Compare!$B$7,B480*Compare!$B$5+IF(Compare!$B$6="Yes",C481,0))))</f>
        <v>0</v>
      </c>
      <c r="E481" s="15" t="n">
        <f aca="false">MAX(0,E480+F481-G481)</f>
        <v>0</v>
      </c>
      <c r="F481" s="15" t="n">
        <f aca="false">IF(E480&lt;=0.005,0,E480*Compare!$B$4/12)</f>
        <v>0</v>
      </c>
      <c r="G481" s="15" t="n">
        <f aca="false">IF(E480&lt;=0.005,0,MIN(E480+F481,Compare!$B$9))</f>
        <v>0</v>
      </c>
      <c r="H481" s="15" t="n">
        <f aca="false">MAX(0,H480+I481-J481)</f>
        <v>0</v>
      </c>
      <c r="I481" s="15" t="n">
        <f aca="false">IF(H480&lt;=0.005,0,H480*Compare!$B$4/12)</f>
        <v>0</v>
      </c>
      <c r="J481" s="15" t="n">
        <f aca="false">IF(H480&lt;=0.005,0,MIN(H480+I481,Compare!$B$9+Compare!$B$8))</f>
        <v>0</v>
      </c>
    </row>
    <row r="482" customFormat="false" ht="15" hidden="false" customHeight="false" outlineLevel="0" collapsed="false">
      <c r="A482" s="3" t="n">
        <v>479</v>
      </c>
      <c r="B482" s="15" t="n">
        <f aca="false">MAX(0,B481+C482-D482)</f>
        <v>0</v>
      </c>
      <c r="C482" s="15" t="n">
        <f aca="false">IF(B481&lt;=0.005,0,B481*Compare!$B$4/12)</f>
        <v>0</v>
      </c>
      <c r="D482" s="15" t="n">
        <f aca="false">IF(B481&lt;=0.005,0,MIN(B481+C482,MAX(Compare!$B$7,B481*Compare!$B$5+IF(Compare!$B$6="Yes",C482,0))))</f>
        <v>0</v>
      </c>
      <c r="E482" s="15" t="n">
        <f aca="false">MAX(0,E481+F482-G482)</f>
        <v>0</v>
      </c>
      <c r="F482" s="15" t="n">
        <f aca="false">IF(E481&lt;=0.005,0,E481*Compare!$B$4/12)</f>
        <v>0</v>
      </c>
      <c r="G482" s="15" t="n">
        <f aca="false">IF(E481&lt;=0.005,0,MIN(E481+F482,Compare!$B$9))</f>
        <v>0</v>
      </c>
      <c r="H482" s="15" t="n">
        <f aca="false">MAX(0,H481+I482-J482)</f>
        <v>0</v>
      </c>
      <c r="I482" s="15" t="n">
        <f aca="false">IF(H481&lt;=0.005,0,H481*Compare!$B$4/12)</f>
        <v>0</v>
      </c>
      <c r="J482" s="15" t="n">
        <f aca="false">IF(H481&lt;=0.005,0,MIN(H481+I482,Compare!$B$9+Compare!$B$8))</f>
        <v>0</v>
      </c>
    </row>
    <row r="483" customFormat="false" ht="15" hidden="false" customHeight="false" outlineLevel="0" collapsed="false">
      <c r="A483" s="3" t="n">
        <v>480</v>
      </c>
      <c r="B483" s="15" t="n">
        <f aca="false">MAX(0,B482+C483-D483)</f>
        <v>0</v>
      </c>
      <c r="C483" s="15" t="n">
        <f aca="false">IF(B482&lt;=0.005,0,B482*Compare!$B$4/12)</f>
        <v>0</v>
      </c>
      <c r="D483" s="15" t="n">
        <f aca="false">IF(B482&lt;=0.005,0,MIN(B482+C483,MAX(Compare!$B$7,B482*Compare!$B$5+IF(Compare!$B$6="Yes",C483,0))))</f>
        <v>0</v>
      </c>
      <c r="E483" s="15" t="n">
        <f aca="false">MAX(0,E482+F483-G483)</f>
        <v>0</v>
      </c>
      <c r="F483" s="15" t="n">
        <f aca="false">IF(E482&lt;=0.005,0,E482*Compare!$B$4/12)</f>
        <v>0</v>
      </c>
      <c r="G483" s="15" t="n">
        <f aca="false">IF(E482&lt;=0.005,0,MIN(E482+F483,Compare!$B$9))</f>
        <v>0</v>
      </c>
      <c r="H483" s="15" t="n">
        <f aca="false">MAX(0,H482+I483-J483)</f>
        <v>0</v>
      </c>
      <c r="I483" s="15" t="n">
        <f aca="false">IF(H482&lt;=0.005,0,H482*Compare!$B$4/12)</f>
        <v>0</v>
      </c>
      <c r="J483" s="15" t="n">
        <f aca="false">IF(H482&lt;=0.005,0,MIN(H482+I483,Compare!$B$9+Compare!$B$8))</f>
        <v>0</v>
      </c>
    </row>
    <row r="484" customFormat="false" ht="15" hidden="false" customHeight="false" outlineLevel="0" collapsed="false">
      <c r="A484" s="3" t="n">
        <v>481</v>
      </c>
      <c r="B484" s="15" t="n">
        <f aca="false">MAX(0,B483+C484-D484)</f>
        <v>0</v>
      </c>
      <c r="C484" s="15" t="n">
        <f aca="false">IF(B483&lt;=0.005,0,B483*Compare!$B$4/12)</f>
        <v>0</v>
      </c>
      <c r="D484" s="15" t="n">
        <f aca="false">IF(B483&lt;=0.005,0,MIN(B483+C484,MAX(Compare!$B$7,B483*Compare!$B$5+IF(Compare!$B$6="Yes",C484,0))))</f>
        <v>0</v>
      </c>
      <c r="E484" s="15" t="n">
        <f aca="false">MAX(0,E483+F484-G484)</f>
        <v>0</v>
      </c>
      <c r="F484" s="15" t="n">
        <f aca="false">IF(E483&lt;=0.005,0,E483*Compare!$B$4/12)</f>
        <v>0</v>
      </c>
      <c r="G484" s="15" t="n">
        <f aca="false">IF(E483&lt;=0.005,0,MIN(E483+F484,Compare!$B$9))</f>
        <v>0</v>
      </c>
      <c r="H484" s="15" t="n">
        <f aca="false">MAX(0,H483+I484-J484)</f>
        <v>0</v>
      </c>
      <c r="I484" s="15" t="n">
        <f aca="false">IF(H483&lt;=0.005,0,H483*Compare!$B$4/12)</f>
        <v>0</v>
      </c>
      <c r="J484" s="15" t="n">
        <f aca="false">IF(H483&lt;=0.005,0,MIN(H483+I484,Compare!$B$9+Compare!$B$8))</f>
        <v>0</v>
      </c>
    </row>
    <row r="485" customFormat="false" ht="15" hidden="false" customHeight="false" outlineLevel="0" collapsed="false">
      <c r="A485" s="3" t="n">
        <v>482</v>
      </c>
      <c r="B485" s="15" t="n">
        <f aca="false">MAX(0,B484+C485-D485)</f>
        <v>0</v>
      </c>
      <c r="C485" s="15" t="n">
        <f aca="false">IF(B484&lt;=0.005,0,B484*Compare!$B$4/12)</f>
        <v>0</v>
      </c>
      <c r="D485" s="15" t="n">
        <f aca="false">IF(B484&lt;=0.005,0,MIN(B484+C485,MAX(Compare!$B$7,B484*Compare!$B$5+IF(Compare!$B$6="Yes",C485,0))))</f>
        <v>0</v>
      </c>
      <c r="E485" s="15" t="n">
        <f aca="false">MAX(0,E484+F485-G485)</f>
        <v>0</v>
      </c>
      <c r="F485" s="15" t="n">
        <f aca="false">IF(E484&lt;=0.005,0,E484*Compare!$B$4/12)</f>
        <v>0</v>
      </c>
      <c r="G485" s="15" t="n">
        <f aca="false">IF(E484&lt;=0.005,0,MIN(E484+F485,Compare!$B$9))</f>
        <v>0</v>
      </c>
      <c r="H485" s="15" t="n">
        <f aca="false">MAX(0,H484+I485-J485)</f>
        <v>0</v>
      </c>
      <c r="I485" s="15" t="n">
        <f aca="false">IF(H484&lt;=0.005,0,H484*Compare!$B$4/12)</f>
        <v>0</v>
      </c>
      <c r="J485" s="15" t="n">
        <f aca="false">IF(H484&lt;=0.005,0,MIN(H484+I485,Compare!$B$9+Compare!$B$8))</f>
        <v>0</v>
      </c>
    </row>
    <row r="486" customFormat="false" ht="15" hidden="false" customHeight="false" outlineLevel="0" collapsed="false">
      <c r="A486" s="3" t="n">
        <v>483</v>
      </c>
      <c r="B486" s="15" t="n">
        <f aca="false">MAX(0,B485+C486-D486)</f>
        <v>0</v>
      </c>
      <c r="C486" s="15" t="n">
        <f aca="false">IF(B485&lt;=0.005,0,B485*Compare!$B$4/12)</f>
        <v>0</v>
      </c>
      <c r="D486" s="15" t="n">
        <f aca="false">IF(B485&lt;=0.005,0,MIN(B485+C486,MAX(Compare!$B$7,B485*Compare!$B$5+IF(Compare!$B$6="Yes",C486,0))))</f>
        <v>0</v>
      </c>
      <c r="E486" s="15" t="n">
        <f aca="false">MAX(0,E485+F486-G486)</f>
        <v>0</v>
      </c>
      <c r="F486" s="15" t="n">
        <f aca="false">IF(E485&lt;=0.005,0,E485*Compare!$B$4/12)</f>
        <v>0</v>
      </c>
      <c r="G486" s="15" t="n">
        <f aca="false">IF(E485&lt;=0.005,0,MIN(E485+F486,Compare!$B$9))</f>
        <v>0</v>
      </c>
      <c r="H486" s="15" t="n">
        <f aca="false">MAX(0,H485+I486-J486)</f>
        <v>0</v>
      </c>
      <c r="I486" s="15" t="n">
        <f aca="false">IF(H485&lt;=0.005,0,H485*Compare!$B$4/12)</f>
        <v>0</v>
      </c>
      <c r="J486" s="15" t="n">
        <f aca="false">IF(H485&lt;=0.005,0,MIN(H485+I486,Compare!$B$9+Compare!$B$8))</f>
        <v>0</v>
      </c>
    </row>
    <row r="487" customFormat="false" ht="15" hidden="false" customHeight="false" outlineLevel="0" collapsed="false">
      <c r="A487" s="3" t="n">
        <v>484</v>
      </c>
      <c r="B487" s="15" t="n">
        <f aca="false">MAX(0,B486+C487-D487)</f>
        <v>0</v>
      </c>
      <c r="C487" s="15" t="n">
        <f aca="false">IF(B486&lt;=0.005,0,B486*Compare!$B$4/12)</f>
        <v>0</v>
      </c>
      <c r="D487" s="15" t="n">
        <f aca="false">IF(B486&lt;=0.005,0,MIN(B486+C487,MAX(Compare!$B$7,B486*Compare!$B$5+IF(Compare!$B$6="Yes",C487,0))))</f>
        <v>0</v>
      </c>
      <c r="E487" s="15" t="n">
        <f aca="false">MAX(0,E486+F487-G487)</f>
        <v>0</v>
      </c>
      <c r="F487" s="15" t="n">
        <f aca="false">IF(E486&lt;=0.005,0,E486*Compare!$B$4/12)</f>
        <v>0</v>
      </c>
      <c r="G487" s="15" t="n">
        <f aca="false">IF(E486&lt;=0.005,0,MIN(E486+F487,Compare!$B$9))</f>
        <v>0</v>
      </c>
      <c r="H487" s="15" t="n">
        <f aca="false">MAX(0,H486+I487-J487)</f>
        <v>0</v>
      </c>
      <c r="I487" s="15" t="n">
        <f aca="false">IF(H486&lt;=0.005,0,H486*Compare!$B$4/12)</f>
        <v>0</v>
      </c>
      <c r="J487" s="15" t="n">
        <f aca="false">IF(H486&lt;=0.005,0,MIN(H486+I487,Compare!$B$9+Compare!$B$8))</f>
        <v>0</v>
      </c>
    </row>
    <row r="488" customFormat="false" ht="15" hidden="false" customHeight="false" outlineLevel="0" collapsed="false">
      <c r="A488" s="3" t="n">
        <v>485</v>
      </c>
      <c r="B488" s="15" t="n">
        <f aca="false">MAX(0,B487+C488-D488)</f>
        <v>0</v>
      </c>
      <c r="C488" s="15" t="n">
        <f aca="false">IF(B487&lt;=0.005,0,B487*Compare!$B$4/12)</f>
        <v>0</v>
      </c>
      <c r="D488" s="15" t="n">
        <f aca="false">IF(B487&lt;=0.005,0,MIN(B487+C488,MAX(Compare!$B$7,B487*Compare!$B$5+IF(Compare!$B$6="Yes",C488,0))))</f>
        <v>0</v>
      </c>
      <c r="E488" s="15" t="n">
        <f aca="false">MAX(0,E487+F488-G488)</f>
        <v>0</v>
      </c>
      <c r="F488" s="15" t="n">
        <f aca="false">IF(E487&lt;=0.005,0,E487*Compare!$B$4/12)</f>
        <v>0</v>
      </c>
      <c r="G488" s="15" t="n">
        <f aca="false">IF(E487&lt;=0.005,0,MIN(E487+F488,Compare!$B$9))</f>
        <v>0</v>
      </c>
      <c r="H488" s="15" t="n">
        <f aca="false">MAX(0,H487+I488-J488)</f>
        <v>0</v>
      </c>
      <c r="I488" s="15" t="n">
        <f aca="false">IF(H487&lt;=0.005,0,H487*Compare!$B$4/12)</f>
        <v>0</v>
      </c>
      <c r="J488" s="15" t="n">
        <f aca="false">IF(H487&lt;=0.005,0,MIN(H487+I488,Compare!$B$9+Compare!$B$8))</f>
        <v>0</v>
      </c>
    </row>
    <row r="489" customFormat="false" ht="15" hidden="false" customHeight="false" outlineLevel="0" collapsed="false">
      <c r="A489" s="3" t="n">
        <v>486</v>
      </c>
      <c r="B489" s="15" t="n">
        <f aca="false">MAX(0,B488+C489-D489)</f>
        <v>0</v>
      </c>
      <c r="C489" s="15" t="n">
        <f aca="false">IF(B488&lt;=0.005,0,B488*Compare!$B$4/12)</f>
        <v>0</v>
      </c>
      <c r="D489" s="15" t="n">
        <f aca="false">IF(B488&lt;=0.005,0,MIN(B488+C489,MAX(Compare!$B$7,B488*Compare!$B$5+IF(Compare!$B$6="Yes",C489,0))))</f>
        <v>0</v>
      </c>
      <c r="E489" s="15" t="n">
        <f aca="false">MAX(0,E488+F489-G489)</f>
        <v>0</v>
      </c>
      <c r="F489" s="15" t="n">
        <f aca="false">IF(E488&lt;=0.005,0,E488*Compare!$B$4/12)</f>
        <v>0</v>
      </c>
      <c r="G489" s="15" t="n">
        <f aca="false">IF(E488&lt;=0.005,0,MIN(E488+F489,Compare!$B$9))</f>
        <v>0</v>
      </c>
      <c r="H489" s="15" t="n">
        <f aca="false">MAX(0,H488+I489-J489)</f>
        <v>0</v>
      </c>
      <c r="I489" s="15" t="n">
        <f aca="false">IF(H488&lt;=0.005,0,H488*Compare!$B$4/12)</f>
        <v>0</v>
      </c>
      <c r="J489" s="15" t="n">
        <f aca="false">IF(H488&lt;=0.005,0,MIN(H488+I489,Compare!$B$9+Compare!$B$8))</f>
        <v>0</v>
      </c>
    </row>
    <row r="490" customFormat="false" ht="15" hidden="false" customHeight="false" outlineLevel="0" collapsed="false">
      <c r="A490" s="3" t="n">
        <v>487</v>
      </c>
      <c r="B490" s="15" t="n">
        <f aca="false">MAX(0,B489+C490-D490)</f>
        <v>0</v>
      </c>
      <c r="C490" s="15" t="n">
        <f aca="false">IF(B489&lt;=0.005,0,B489*Compare!$B$4/12)</f>
        <v>0</v>
      </c>
      <c r="D490" s="15" t="n">
        <f aca="false">IF(B489&lt;=0.005,0,MIN(B489+C490,MAX(Compare!$B$7,B489*Compare!$B$5+IF(Compare!$B$6="Yes",C490,0))))</f>
        <v>0</v>
      </c>
      <c r="E490" s="15" t="n">
        <f aca="false">MAX(0,E489+F490-G490)</f>
        <v>0</v>
      </c>
      <c r="F490" s="15" t="n">
        <f aca="false">IF(E489&lt;=0.005,0,E489*Compare!$B$4/12)</f>
        <v>0</v>
      </c>
      <c r="G490" s="15" t="n">
        <f aca="false">IF(E489&lt;=0.005,0,MIN(E489+F490,Compare!$B$9))</f>
        <v>0</v>
      </c>
      <c r="H490" s="15" t="n">
        <f aca="false">MAX(0,H489+I490-J490)</f>
        <v>0</v>
      </c>
      <c r="I490" s="15" t="n">
        <f aca="false">IF(H489&lt;=0.005,0,H489*Compare!$B$4/12)</f>
        <v>0</v>
      </c>
      <c r="J490" s="15" t="n">
        <f aca="false">IF(H489&lt;=0.005,0,MIN(H489+I490,Compare!$B$9+Compare!$B$8))</f>
        <v>0</v>
      </c>
    </row>
    <row r="491" customFormat="false" ht="15" hidden="false" customHeight="false" outlineLevel="0" collapsed="false">
      <c r="A491" s="3" t="n">
        <v>488</v>
      </c>
      <c r="B491" s="15" t="n">
        <f aca="false">MAX(0,B490+C491-D491)</f>
        <v>0</v>
      </c>
      <c r="C491" s="15" t="n">
        <f aca="false">IF(B490&lt;=0.005,0,B490*Compare!$B$4/12)</f>
        <v>0</v>
      </c>
      <c r="D491" s="15" t="n">
        <f aca="false">IF(B490&lt;=0.005,0,MIN(B490+C491,MAX(Compare!$B$7,B490*Compare!$B$5+IF(Compare!$B$6="Yes",C491,0))))</f>
        <v>0</v>
      </c>
      <c r="E491" s="15" t="n">
        <f aca="false">MAX(0,E490+F491-G491)</f>
        <v>0</v>
      </c>
      <c r="F491" s="15" t="n">
        <f aca="false">IF(E490&lt;=0.005,0,E490*Compare!$B$4/12)</f>
        <v>0</v>
      </c>
      <c r="G491" s="15" t="n">
        <f aca="false">IF(E490&lt;=0.005,0,MIN(E490+F491,Compare!$B$9))</f>
        <v>0</v>
      </c>
      <c r="H491" s="15" t="n">
        <f aca="false">MAX(0,H490+I491-J491)</f>
        <v>0</v>
      </c>
      <c r="I491" s="15" t="n">
        <f aca="false">IF(H490&lt;=0.005,0,H490*Compare!$B$4/12)</f>
        <v>0</v>
      </c>
      <c r="J491" s="15" t="n">
        <f aca="false">IF(H490&lt;=0.005,0,MIN(H490+I491,Compare!$B$9+Compare!$B$8))</f>
        <v>0</v>
      </c>
    </row>
    <row r="492" customFormat="false" ht="15" hidden="false" customHeight="false" outlineLevel="0" collapsed="false">
      <c r="A492" s="3" t="n">
        <v>489</v>
      </c>
      <c r="B492" s="15" t="n">
        <f aca="false">MAX(0,B491+C492-D492)</f>
        <v>0</v>
      </c>
      <c r="C492" s="15" t="n">
        <f aca="false">IF(B491&lt;=0.005,0,B491*Compare!$B$4/12)</f>
        <v>0</v>
      </c>
      <c r="D492" s="15" t="n">
        <f aca="false">IF(B491&lt;=0.005,0,MIN(B491+C492,MAX(Compare!$B$7,B491*Compare!$B$5+IF(Compare!$B$6="Yes",C492,0))))</f>
        <v>0</v>
      </c>
      <c r="E492" s="15" t="n">
        <f aca="false">MAX(0,E491+F492-G492)</f>
        <v>0</v>
      </c>
      <c r="F492" s="15" t="n">
        <f aca="false">IF(E491&lt;=0.005,0,E491*Compare!$B$4/12)</f>
        <v>0</v>
      </c>
      <c r="G492" s="15" t="n">
        <f aca="false">IF(E491&lt;=0.005,0,MIN(E491+F492,Compare!$B$9))</f>
        <v>0</v>
      </c>
      <c r="H492" s="15" t="n">
        <f aca="false">MAX(0,H491+I492-J492)</f>
        <v>0</v>
      </c>
      <c r="I492" s="15" t="n">
        <f aca="false">IF(H491&lt;=0.005,0,H491*Compare!$B$4/12)</f>
        <v>0</v>
      </c>
      <c r="J492" s="15" t="n">
        <f aca="false">IF(H491&lt;=0.005,0,MIN(H491+I492,Compare!$B$9+Compare!$B$8))</f>
        <v>0</v>
      </c>
    </row>
    <row r="493" customFormat="false" ht="15" hidden="false" customHeight="false" outlineLevel="0" collapsed="false">
      <c r="A493" s="3" t="n">
        <v>490</v>
      </c>
      <c r="B493" s="15" t="n">
        <f aca="false">MAX(0,B492+C493-D493)</f>
        <v>0</v>
      </c>
      <c r="C493" s="15" t="n">
        <f aca="false">IF(B492&lt;=0.005,0,B492*Compare!$B$4/12)</f>
        <v>0</v>
      </c>
      <c r="D493" s="15" t="n">
        <f aca="false">IF(B492&lt;=0.005,0,MIN(B492+C493,MAX(Compare!$B$7,B492*Compare!$B$5+IF(Compare!$B$6="Yes",C493,0))))</f>
        <v>0</v>
      </c>
      <c r="E493" s="15" t="n">
        <f aca="false">MAX(0,E492+F493-G493)</f>
        <v>0</v>
      </c>
      <c r="F493" s="15" t="n">
        <f aca="false">IF(E492&lt;=0.005,0,E492*Compare!$B$4/12)</f>
        <v>0</v>
      </c>
      <c r="G493" s="15" t="n">
        <f aca="false">IF(E492&lt;=0.005,0,MIN(E492+F493,Compare!$B$9))</f>
        <v>0</v>
      </c>
      <c r="H493" s="15" t="n">
        <f aca="false">MAX(0,H492+I493-J493)</f>
        <v>0</v>
      </c>
      <c r="I493" s="15" t="n">
        <f aca="false">IF(H492&lt;=0.005,0,H492*Compare!$B$4/12)</f>
        <v>0</v>
      </c>
      <c r="J493" s="15" t="n">
        <f aca="false">IF(H492&lt;=0.005,0,MIN(H492+I493,Compare!$B$9+Compare!$B$8))</f>
        <v>0</v>
      </c>
    </row>
    <row r="494" customFormat="false" ht="15" hidden="false" customHeight="false" outlineLevel="0" collapsed="false">
      <c r="A494" s="3" t="n">
        <v>491</v>
      </c>
      <c r="B494" s="15" t="n">
        <f aca="false">MAX(0,B493+C494-D494)</f>
        <v>0</v>
      </c>
      <c r="C494" s="15" t="n">
        <f aca="false">IF(B493&lt;=0.005,0,B493*Compare!$B$4/12)</f>
        <v>0</v>
      </c>
      <c r="D494" s="15" t="n">
        <f aca="false">IF(B493&lt;=0.005,0,MIN(B493+C494,MAX(Compare!$B$7,B493*Compare!$B$5+IF(Compare!$B$6="Yes",C494,0))))</f>
        <v>0</v>
      </c>
      <c r="E494" s="15" t="n">
        <f aca="false">MAX(0,E493+F494-G494)</f>
        <v>0</v>
      </c>
      <c r="F494" s="15" t="n">
        <f aca="false">IF(E493&lt;=0.005,0,E493*Compare!$B$4/12)</f>
        <v>0</v>
      </c>
      <c r="G494" s="15" t="n">
        <f aca="false">IF(E493&lt;=0.005,0,MIN(E493+F494,Compare!$B$9))</f>
        <v>0</v>
      </c>
      <c r="H494" s="15" t="n">
        <f aca="false">MAX(0,H493+I494-J494)</f>
        <v>0</v>
      </c>
      <c r="I494" s="15" t="n">
        <f aca="false">IF(H493&lt;=0.005,0,H493*Compare!$B$4/12)</f>
        <v>0</v>
      </c>
      <c r="J494" s="15" t="n">
        <f aca="false">IF(H493&lt;=0.005,0,MIN(H493+I494,Compare!$B$9+Compare!$B$8))</f>
        <v>0</v>
      </c>
    </row>
    <row r="495" customFormat="false" ht="15" hidden="false" customHeight="false" outlineLevel="0" collapsed="false">
      <c r="A495" s="3" t="n">
        <v>492</v>
      </c>
      <c r="B495" s="15" t="n">
        <f aca="false">MAX(0,B494+C495-D495)</f>
        <v>0</v>
      </c>
      <c r="C495" s="15" t="n">
        <f aca="false">IF(B494&lt;=0.005,0,B494*Compare!$B$4/12)</f>
        <v>0</v>
      </c>
      <c r="D495" s="15" t="n">
        <f aca="false">IF(B494&lt;=0.005,0,MIN(B494+C495,MAX(Compare!$B$7,B494*Compare!$B$5+IF(Compare!$B$6="Yes",C495,0))))</f>
        <v>0</v>
      </c>
      <c r="E495" s="15" t="n">
        <f aca="false">MAX(0,E494+F495-G495)</f>
        <v>0</v>
      </c>
      <c r="F495" s="15" t="n">
        <f aca="false">IF(E494&lt;=0.005,0,E494*Compare!$B$4/12)</f>
        <v>0</v>
      </c>
      <c r="G495" s="15" t="n">
        <f aca="false">IF(E494&lt;=0.005,0,MIN(E494+F495,Compare!$B$9))</f>
        <v>0</v>
      </c>
      <c r="H495" s="15" t="n">
        <f aca="false">MAX(0,H494+I495-J495)</f>
        <v>0</v>
      </c>
      <c r="I495" s="15" t="n">
        <f aca="false">IF(H494&lt;=0.005,0,H494*Compare!$B$4/12)</f>
        <v>0</v>
      </c>
      <c r="J495" s="15" t="n">
        <f aca="false">IF(H494&lt;=0.005,0,MIN(H494+I495,Compare!$B$9+Compare!$B$8))</f>
        <v>0</v>
      </c>
    </row>
    <row r="496" customFormat="false" ht="15" hidden="false" customHeight="false" outlineLevel="0" collapsed="false">
      <c r="A496" s="3" t="n">
        <v>493</v>
      </c>
      <c r="B496" s="15" t="n">
        <f aca="false">MAX(0,B495+C496-D496)</f>
        <v>0</v>
      </c>
      <c r="C496" s="15" t="n">
        <f aca="false">IF(B495&lt;=0.005,0,B495*Compare!$B$4/12)</f>
        <v>0</v>
      </c>
      <c r="D496" s="15" t="n">
        <f aca="false">IF(B495&lt;=0.005,0,MIN(B495+C496,MAX(Compare!$B$7,B495*Compare!$B$5+IF(Compare!$B$6="Yes",C496,0))))</f>
        <v>0</v>
      </c>
      <c r="E496" s="15" t="n">
        <f aca="false">MAX(0,E495+F496-G496)</f>
        <v>0</v>
      </c>
      <c r="F496" s="15" t="n">
        <f aca="false">IF(E495&lt;=0.005,0,E495*Compare!$B$4/12)</f>
        <v>0</v>
      </c>
      <c r="G496" s="15" t="n">
        <f aca="false">IF(E495&lt;=0.005,0,MIN(E495+F496,Compare!$B$9))</f>
        <v>0</v>
      </c>
      <c r="H496" s="15" t="n">
        <f aca="false">MAX(0,H495+I496-J496)</f>
        <v>0</v>
      </c>
      <c r="I496" s="15" t="n">
        <f aca="false">IF(H495&lt;=0.005,0,H495*Compare!$B$4/12)</f>
        <v>0</v>
      </c>
      <c r="J496" s="15" t="n">
        <f aca="false">IF(H495&lt;=0.005,0,MIN(H495+I496,Compare!$B$9+Compare!$B$8))</f>
        <v>0</v>
      </c>
    </row>
    <row r="497" customFormat="false" ht="15" hidden="false" customHeight="false" outlineLevel="0" collapsed="false">
      <c r="A497" s="3" t="n">
        <v>494</v>
      </c>
      <c r="B497" s="15" t="n">
        <f aca="false">MAX(0,B496+C497-D497)</f>
        <v>0</v>
      </c>
      <c r="C497" s="15" t="n">
        <f aca="false">IF(B496&lt;=0.005,0,B496*Compare!$B$4/12)</f>
        <v>0</v>
      </c>
      <c r="D497" s="15" t="n">
        <f aca="false">IF(B496&lt;=0.005,0,MIN(B496+C497,MAX(Compare!$B$7,B496*Compare!$B$5+IF(Compare!$B$6="Yes",C497,0))))</f>
        <v>0</v>
      </c>
      <c r="E497" s="15" t="n">
        <f aca="false">MAX(0,E496+F497-G497)</f>
        <v>0</v>
      </c>
      <c r="F497" s="15" t="n">
        <f aca="false">IF(E496&lt;=0.005,0,E496*Compare!$B$4/12)</f>
        <v>0</v>
      </c>
      <c r="G497" s="15" t="n">
        <f aca="false">IF(E496&lt;=0.005,0,MIN(E496+F497,Compare!$B$9))</f>
        <v>0</v>
      </c>
      <c r="H497" s="15" t="n">
        <f aca="false">MAX(0,H496+I497-J497)</f>
        <v>0</v>
      </c>
      <c r="I497" s="15" t="n">
        <f aca="false">IF(H496&lt;=0.005,0,H496*Compare!$B$4/12)</f>
        <v>0</v>
      </c>
      <c r="J497" s="15" t="n">
        <f aca="false">IF(H496&lt;=0.005,0,MIN(H496+I497,Compare!$B$9+Compare!$B$8))</f>
        <v>0</v>
      </c>
    </row>
    <row r="498" customFormat="false" ht="15" hidden="false" customHeight="false" outlineLevel="0" collapsed="false">
      <c r="A498" s="3" t="n">
        <v>495</v>
      </c>
      <c r="B498" s="15" t="n">
        <f aca="false">MAX(0,B497+C498-D498)</f>
        <v>0</v>
      </c>
      <c r="C498" s="15" t="n">
        <f aca="false">IF(B497&lt;=0.005,0,B497*Compare!$B$4/12)</f>
        <v>0</v>
      </c>
      <c r="D498" s="15" t="n">
        <f aca="false">IF(B497&lt;=0.005,0,MIN(B497+C498,MAX(Compare!$B$7,B497*Compare!$B$5+IF(Compare!$B$6="Yes",C498,0))))</f>
        <v>0</v>
      </c>
      <c r="E498" s="15" t="n">
        <f aca="false">MAX(0,E497+F498-G498)</f>
        <v>0</v>
      </c>
      <c r="F498" s="15" t="n">
        <f aca="false">IF(E497&lt;=0.005,0,E497*Compare!$B$4/12)</f>
        <v>0</v>
      </c>
      <c r="G498" s="15" t="n">
        <f aca="false">IF(E497&lt;=0.005,0,MIN(E497+F498,Compare!$B$9))</f>
        <v>0</v>
      </c>
      <c r="H498" s="15" t="n">
        <f aca="false">MAX(0,H497+I498-J498)</f>
        <v>0</v>
      </c>
      <c r="I498" s="15" t="n">
        <f aca="false">IF(H497&lt;=0.005,0,H497*Compare!$B$4/12)</f>
        <v>0</v>
      </c>
      <c r="J498" s="15" t="n">
        <f aca="false">IF(H497&lt;=0.005,0,MIN(H497+I498,Compare!$B$9+Compare!$B$8))</f>
        <v>0</v>
      </c>
    </row>
    <row r="499" customFormat="false" ht="15" hidden="false" customHeight="false" outlineLevel="0" collapsed="false">
      <c r="A499" s="3" t="n">
        <v>496</v>
      </c>
      <c r="B499" s="15" t="n">
        <f aca="false">MAX(0,B498+C499-D499)</f>
        <v>0</v>
      </c>
      <c r="C499" s="15" t="n">
        <f aca="false">IF(B498&lt;=0.005,0,B498*Compare!$B$4/12)</f>
        <v>0</v>
      </c>
      <c r="D499" s="15" t="n">
        <f aca="false">IF(B498&lt;=0.005,0,MIN(B498+C499,MAX(Compare!$B$7,B498*Compare!$B$5+IF(Compare!$B$6="Yes",C499,0))))</f>
        <v>0</v>
      </c>
      <c r="E499" s="15" t="n">
        <f aca="false">MAX(0,E498+F499-G499)</f>
        <v>0</v>
      </c>
      <c r="F499" s="15" t="n">
        <f aca="false">IF(E498&lt;=0.005,0,E498*Compare!$B$4/12)</f>
        <v>0</v>
      </c>
      <c r="G499" s="15" t="n">
        <f aca="false">IF(E498&lt;=0.005,0,MIN(E498+F499,Compare!$B$9))</f>
        <v>0</v>
      </c>
      <c r="H499" s="15" t="n">
        <f aca="false">MAX(0,H498+I499-J499)</f>
        <v>0</v>
      </c>
      <c r="I499" s="15" t="n">
        <f aca="false">IF(H498&lt;=0.005,0,H498*Compare!$B$4/12)</f>
        <v>0</v>
      </c>
      <c r="J499" s="15" t="n">
        <f aca="false">IF(H498&lt;=0.005,0,MIN(H498+I499,Compare!$B$9+Compare!$B$8))</f>
        <v>0</v>
      </c>
    </row>
    <row r="500" customFormat="false" ht="15" hidden="false" customHeight="false" outlineLevel="0" collapsed="false">
      <c r="A500" s="3" t="n">
        <v>497</v>
      </c>
      <c r="B500" s="15" t="n">
        <f aca="false">MAX(0,B499+C500-D500)</f>
        <v>0</v>
      </c>
      <c r="C500" s="15" t="n">
        <f aca="false">IF(B499&lt;=0.005,0,B499*Compare!$B$4/12)</f>
        <v>0</v>
      </c>
      <c r="D500" s="15" t="n">
        <f aca="false">IF(B499&lt;=0.005,0,MIN(B499+C500,MAX(Compare!$B$7,B499*Compare!$B$5+IF(Compare!$B$6="Yes",C500,0))))</f>
        <v>0</v>
      </c>
      <c r="E500" s="15" t="n">
        <f aca="false">MAX(0,E499+F500-G500)</f>
        <v>0</v>
      </c>
      <c r="F500" s="15" t="n">
        <f aca="false">IF(E499&lt;=0.005,0,E499*Compare!$B$4/12)</f>
        <v>0</v>
      </c>
      <c r="G500" s="15" t="n">
        <f aca="false">IF(E499&lt;=0.005,0,MIN(E499+F500,Compare!$B$9))</f>
        <v>0</v>
      </c>
      <c r="H500" s="15" t="n">
        <f aca="false">MAX(0,H499+I500-J500)</f>
        <v>0</v>
      </c>
      <c r="I500" s="15" t="n">
        <f aca="false">IF(H499&lt;=0.005,0,H499*Compare!$B$4/12)</f>
        <v>0</v>
      </c>
      <c r="J500" s="15" t="n">
        <f aca="false">IF(H499&lt;=0.005,0,MIN(H499+I500,Compare!$B$9+Compare!$B$8))</f>
        <v>0</v>
      </c>
    </row>
    <row r="501" customFormat="false" ht="15" hidden="false" customHeight="false" outlineLevel="0" collapsed="false">
      <c r="A501" s="3" t="n">
        <v>498</v>
      </c>
      <c r="B501" s="15" t="n">
        <f aca="false">MAX(0,B500+C501-D501)</f>
        <v>0</v>
      </c>
      <c r="C501" s="15" t="n">
        <f aca="false">IF(B500&lt;=0.005,0,B500*Compare!$B$4/12)</f>
        <v>0</v>
      </c>
      <c r="D501" s="15" t="n">
        <f aca="false">IF(B500&lt;=0.005,0,MIN(B500+C501,MAX(Compare!$B$7,B500*Compare!$B$5+IF(Compare!$B$6="Yes",C501,0))))</f>
        <v>0</v>
      </c>
      <c r="E501" s="15" t="n">
        <f aca="false">MAX(0,E500+F501-G501)</f>
        <v>0</v>
      </c>
      <c r="F501" s="15" t="n">
        <f aca="false">IF(E500&lt;=0.005,0,E500*Compare!$B$4/12)</f>
        <v>0</v>
      </c>
      <c r="G501" s="15" t="n">
        <f aca="false">IF(E500&lt;=0.005,0,MIN(E500+F501,Compare!$B$9))</f>
        <v>0</v>
      </c>
      <c r="H501" s="15" t="n">
        <f aca="false">MAX(0,H500+I501-J501)</f>
        <v>0</v>
      </c>
      <c r="I501" s="15" t="n">
        <f aca="false">IF(H500&lt;=0.005,0,H500*Compare!$B$4/12)</f>
        <v>0</v>
      </c>
      <c r="J501" s="15" t="n">
        <f aca="false">IF(H500&lt;=0.005,0,MIN(H500+I501,Compare!$B$9+Compare!$B$8))</f>
        <v>0</v>
      </c>
    </row>
    <row r="502" customFormat="false" ht="15" hidden="false" customHeight="false" outlineLevel="0" collapsed="false">
      <c r="A502" s="3" t="n">
        <v>499</v>
      </c>
      <c r="B502" s="15" t="n">
        <f aca="false">MAX(0,B501+C502-D502)</f>
        <v>0</v>
      </c>
      <c r="C502" s="15" t="n">
        <f aca="false">IF(B501&lt;=0.005,0,B501*Compare!$B$4/12)</f>
        <v>0</v>
      </c>
      <c r="D502" s="15" t="n">
        <f aca="false">IF(B501&lt;=0.005,0,MIN(B501+C502,MAX(Compare!$B$7,B501*Compare!$B$5+IF(Compare!$B$6="Yes",C502,0))))</f>
        <v>0</v>
      </c>
      <c r="E502" s="15" t="n">
        <f aca="false">MAX(0,E501+F502-G502)</f>
        <v>0</v>
      </c>
      <c r="F502" s="15" t="n">
        <f aca="false">IF(E501&lt;=0.005,0,E501*Compare!$B$4/12)</f>
        <v>0</v>
      </c>
      <c r="G502" s="15" t="n">
        <f aca="false">IF(E501&lt;=0.005,0,MIN(E501+F502,Compare!$B$9))</f>
        <v>0</v>
      </c>
      <c r="H502" s="15" t="n">
        <f aca="false">MAX(0,H501+I502-J502)</f>
        <v>0</v>
      </c>
      <c r="I502" s="15" t="n">
        <f aca="false">IF(H501&lt;=0.005,0,H501*Compare!$B$4/12)</f>
        <v>0</v>
      </c>
      <c r="J502" s="15" t="n">
        <f aca="false">IF(H501&lt;=0.005,0,MIN(H501+I502,Compare!$B$9+Compare!$B$8))</f>
        <v>0</v>
      </c>
    </row>
    <row r="503" customFormat="false" ht="15" hidden="false" customHeight="false" outlineLevel="0" collapsed="false">
      <c r="A503" s="3" t="n">
        <v>500</v>
      </c>
      <c r="B503" s="15" t="n">
        <f aca="false">MAX(0,B502+C503-D503)</f>
        <v>0</v>
      </c>
      <c r="C503" s="15" t="n">
        <f aca="false">IF(B502&lt;=0.005,0,B502*Compare!$B$4/12)</f>
        <v>0</v>
      </c>
      <c r="D503" s="15" t="n">
        <f aca="false">IF(B502&lt;=0.005,0,MIN(B502+C503,MAX(Compare!$B$7,B502*Compare!$B$5+IF(Compare!$B$6="Yes",C503,0))))</f>
        <v>0</v>
      </c>
      <c r="E503" s="15" t="n">
        <f aca="false">MAX(0,E502+F503-G503)</f>
        <v>0</v>
      </c>
      <c r="F503" s="15" t="n">
        <f aca="false">IF(E502&lt;=0.005,0,E502*Compare!$B$4/12)</f>
        <v>0</v>
      </c>
      <c r="G503" s="15" t="n">
        <f aca="false">IF(E502&lt;=0.005,0,MIN(E502+F503,Compare!$B$9))</f>
        <v>0</v>
      </c>
      <c r="H503" s="15" t="n">
        <f aca="false">MAX(0,H502+I503-J503)</f>
        <v>0</v>
      </c>
      <c r="I503" s="15" t="n">
        <f aca="false">IF(H502&lt;=0.005,0,H502*Compare!$B$4/12)</f>
        <v>0</v>
      </c>
      <c r="J503" s="15" t="n">
        <f aca="false">IF(H502&lt;=0.005,0,MIN(H502+I503,Compare!$B$9+Compare!$B$8))</f>
        <v>0</v>
      </c>
    </row>
    <row r="504" customFormat="false" ht="15" hidden="false" customHeight="false" outlineLevel="0" collapsed="false">
      <c r="A504" s="3" t="n">
        <v>501</v>
      </c>
      <c r="B504" s="15" t="n">
        <f aca="false">MAX(0,B503+C504-D504)</f>
        <v>0</v>
      </c>
      <c r="C504" s="15" t="n">
        <f aca="false">IF(B503&lt;=0.005,0,B503*Compare!$B$4/12)</f>
        <v>0</v>
      </c>
      <c r="D504" s="15" t="n">
        <f aca="false">IF(B503&lt;=0.005,0,MIN(B503+C504,MAX(Compare!$B$7,B503*Compare!$B$5+IF(Compare!$B$6="Yes",C504,0))))</f>
        <v>0</v>
      </c>
      <c r="E504" s="15" t="n">
        <f aca="false">MAX(0,E503+F504-G504)</f>
        <v>0</v>
      </c>
      <c r="F504" s="15" t="n">
        <f aca="false">IF(E503&lt;=0.005,0,E503*Compare!$B$4/12)</f>
        <v>0</v>
      </c>
      <c r="G504" s="15" t="n">
        <f aca="false">IF(E503&lt;=0.005,0,MIN(E503+F504,Compare!$B$9))</f>
        <v>0</v>
      </c>
      <c r="H504" s="15" t="n">
        <f aca="false">MAX(0,H503+I504-J504)</f>
        <v>0</v>
      </c>
      <c r="I504" s="15" t="n">
        <f aca="false">IF(H503&lt;=0.005,0,H503*Compare!$B$4/12)</f>
        <v>0</v>
      </c>
      <c r="J504" s="15" t="n">
        <f aca="false">IF(H503&lt;=0.005,0,MIN(H503+I504,Compare!$B$9+Compare!$B$8))</f>
        <v>0</v>
      </c>
    </row>
    <row r="505" customFormat="false" ht="15" hidden="false" customHeight="false" outlineLevel="0" collapsed="false">
      <c r="A505" s="3" t="n">
        <v>502</v>
      </c>
      <c r="B505" s="15" t="n">
        <f aca="false">MAX(0,B504+C505-D505)</f>
        <v>0</v>
      </c>
      <c r="C505" s="15" t="n">
        <f aca="false">IF(B504&lt;=0.005,0,B504*Compare!$B$4/12)</f>
        <v>0</v>
      </c>
      <c r="D505" s="15" t="n">
        <f aca="false">IF(B504&lt;=0.005,0,MIN(B504+C505,MAX(Compare!$B$7,B504*Compare!$B$5+IF(Compare!$B$6="Yes",C505,0))))</f>
        <v>0</v>
      </c>
      <c r="E505" s="15" t="n">
        <f aca="false">MAX(0,E504+F505-G505)</f>
        <v>0</v>
      </c>
      <c r="F505" s="15" t="n">
        <f aca="false">IF(E504&lt;=0.005,0,E504*Compare!$B$4/12)</f>
        <v>0</v>
      </c>
      <c r="G505" s="15" t="n">
        <f aca="false">IF(E504&lt;=0.005,0,MIN(E504+F505,Compare!$B$9))</f>
        <v>0</v>
      </c>
      <c r="H505" s="15" t="n">
        <f aca="false">MAX(0,H504+I505-J505)</f>
        <v>0</v>
      </c>
      <c r="I505" s="15" t="n">
        <f aca="false">IF(H504&lt;=0.005,0,H504*Compare!$B$4/12)</f>
        <v>0</v>
      </c>
      <c r="J505" s="15" t="n">
        <f aca="false">IF(H504&lt;=0.005,0,MIN(H504+I505,Compare!$B$9+Compare!$B$8))</f>
        <v>0</v>
      </c>
    </row>
    <row r="506" customFormat="false" ht="15" hidden="false" customHeight="false" outlineLevel="0" collapsed="false">
      <c r="A506" s="3" t="n">
        <v>503</v>
      </c>
      <c r="B506" s="15" t="n">
        <f aca="false">MAX(0,B505+C506-D506)</f>
        <v>0</v>
      </c>
      <c r="C506" s="15" t="n">
        <f aca="false">IF(B505&lt;=0.005,0,B505*Compare!$B$4/12)</f>
        <v>0</v>
      </c>
      <c r="D506" s="15" t="n">
        <f aca="false">IF(B505&lt;=0.005,0,MIN(B505+C506,MAX(Compare!$B$7,B505*Compare!$B$5+IF(Compare!$B$6="Yes",C506,0))))</f>
        <v>0</v>
      </c>
      <c r="E506" s="15" t="n">
        <f aca="false">MAX(0,E505+F506-G506)</f>
        <v>0</v>
      </c>
      <c r="F506" s="15" t="n">
        <f aca="false">IF(E505&lt;=0.005,0,E505*Compare!$B$4/12)</f>
        <v>0</v>
      </c>
      <c r="G506" s="15" t="n">
        <f aca="false">IF(E505&lt;=0.005,0,MIN(E505+F506,Compare!$B$9))</f>
        <v>0</v>
      </c>
      <c r="H506" s="15" t="n">
        <f aca="false">MAX(0,H505+I506-J506)</f>
        <v>0</v>
      </c>
      <c r="I506" s="15" t="n">
        <f aca="false">IF(H505&lt;=0.005,0,H505*Compare!$B$4/12)</f>
        <v>0</v>
      </c>
      <c r="J506" s="15" t="n">
        <f aca="false">IF(H505&lt;=0.005,0,MIN(H505+I506,Compare!$B$9+Compare!$B$8))</f>
        <v>0</v>
      </c>
    </row>
    <row r="507" customFormat="false" ht="15" hidden="false" customHeight="false" outlineLevel="0" collapsed="false">
      <c r="A507" s="3" t="n">
        <v>504</v>
      </c>
      <c r="B507" s="15" t="n">
        <f aca="false">MAX(0,B506+C507-D507)</f>
        <v>0</v>
      </c>
      <c r="C507" s="15" t="n">
        <f aca="false">IF(B506&lt;=0.005,0,B506*Compare!$B$4/12)</f>
        <v>0</v>
      </c>
      <c r="D507" s="15" t="n">
        <f aca="false">IF(B506&lt;=0.005,0,MIN(B506+C507,MAX(Compare!$B$7,B506*Compare!$B$5+IF(Compare!$B$6="Yes",C507,0))))</f>
        <v>0</v>
      </c>
      <c r="E507" s="15" t="n">
        <f aca="false">MAX(0,E506+F507-G507)</f>
        <v>0</v>
      </c>
      <c r="F507" s="15" t="n">
        <f aca="false">IF(E506&lt;=0.005,0,E506*Compare!$B$4/12)</f>
        <v>0</v>
      </c>
      <c r="G507" s="15" t="n">
        <f aca="false">IF(E506&lt;=0.005,0,MIN(E506+F507,Compare!$B$9))</f>
        <v>0</v>
      </c>
      <c r="H507" s="15" t="n">
        <f aca="false">MAX(0,H506+I507-J507)</f>
        <v>0</v>
      </c>
      <c r="I507" s="15" t="n">
        <f aca="false">IF(H506&lt;=0.005,0,H506*Compare!$B$4/12)</f>
        <v>0</v>
      </c>
      <c r="J507" s="15" t="n">
        <f aca="false">IF(H506&lt;=0.005,0,MIN(H506+I507,Compare!$B$9+Compare!$B$8))</f>
        <v>0</v>
      </c>
    </row>
    <row r="508" customFormat="false" ht="15" hidden="false" customHeight="false" outlineLevel="0" collapsed="false">
      <c r="A508" s="3" t="n">
        <v>505</v>
      </c>
      <c r="B508" s="15" t="n">
        <f aca="false">MAX(0,B507+C508-D508)</f>
        <v>0</v>
      </c>
      <c r="C508" s="15" t="n">
        <f aca="false">IF(B507&lt;=0.005,0,B507*Compare!$B$4/12)</f>
        <v>0</v>
      </c>
      <c r="D508" s="15" t="n">
        <f aca="false">IF(B507&lt;=0.005,0,MIN(B507+C508,MAX(Compare!$B$7,B507*Compare!$B$5+IF(Compare!$B$6="Yes",C508,0))))</f>
        <v>0</v>
      </c>
      <c r="E508" s="15" t="n">
        <f aca="false">MAX(0,E507+F508-G508)</f>
        <v>0</v>
      </c>
      <c r="F508" s="15" t="n">
        <f aca="false">IF(E507&lt;=0.005,0,E507*Compare!$B$4/12)</f>
        <v>0</v>
      </c>
      <c r="G508" s="15" t="n">
        <f aca="false">IF(E507&lt;=0.005,0,MIN(E507+F508,Compare!$B$9))</f>
        <v>0</v>
      </c>
      <c r="H508" s="15" t="n">
        <f aca="false">MAX(0,H507+I508-J508)</f>
        <v>0</v>
      </c>
      <c r="I508" s="15" t="n">
        <f aca="false">IF(H507&lt;=0.005,0,H507*Compare!$B$4/12)</f>
        <v>0</v>
      </c>
      <c r="J508" s="15" t="n">
        <f aca="false">IF(H507&lt;=0.005,0,MIN(H507+I508,Compare!$B$9+Compare!$B$8))</f>
        <v>0</v>
      </c>
    </row>
    <row r="509" customFormat="false" ht="15" hidden="false" customHeight="false" outlineLevel="0" collapsed="false">
      <c r="A509" s="3" t="n">
        <v>506</v>
      </c>
      <c r="B509" s="15" t="n">
        <f aca="false">MAX(0,B508+C509-D509)</f>
        <v>0</v>
      </c>
      <c r="C509" s="15" t="n">
        <f aca="false">IF(B508&lt;=0.005,0,B508*Compare!$B$4/12)</f>
        <v>0</v>
      </c>
      <c r="D509" s="15" t="n">
        <f aca="false">IF(B508&lt;=0.005,0,MIN(B508+C509,MAX(Compare!$B$7,B508*Compare!$B$5+IF(Compare!$B$6="Yes",C509,0))))</f>
        <v>0</v>
      </c>
      <c r="E509" s="15" t="n">
        <f aca="false">MAX(0,E508+F509-G509)</f>
        <v>0</v>
      </c>
      <c r="F509" s="15" t="n">
        <f aca="false">IF(E508&lt;=0.005,0,E508*Compare!$B$4/12)</f>
        <v>0</v>
      </c>
      <c r="G509" s="15" t="n">
        <f aca="false">IF(E508&lt;=0.005,0,MIN(E508+F509,Compare!$B$9))</f>
        <v>0</v>
      </c>
      <c r="H509" s="15" t="n">
        <f aca="false">MAX(0,H508+I509-J509)</f>
        <v>0</v>
      </c>
      <c r="I509" s="15" t="n">
        <f aca="false">IF(H508&lt;=0.005,0,H508*Compare!$B$4/12)</f>
        <v>0</v>
      </c>
      <c r="J509" s="15" t="n">
        <f aca="false">IF(H508&lt;=0.005,0,MIN(H508+I509,Compare!$B$9+Compare!$B$8))</f>
        <v>0</v>
      </c>
    </row>
    <row r="510" customFormat="false" ht="15" hidden="false" customHeight="false" outlineLevel="0" collapsed="false">
      <c r="A510" s="3" t="n">
        <v>507</v>
      </c>
      <c r="B510" s="15" t="n">
        <f aca="false">MAX(0,B509+C510-D510)</f>
        <v>0</v>
      </c>
      <c r="C510" s="15" t="n">
        <f aca="false">IF(B509&lt;=0.005,0,B509*Compare!$B$4/12)</f>
        <v>0</v>
      </c>
      <c r="D510" s="15" t="n">
        <f aca="false">IF(B509&lt;=0.005,0,MIN(B509+C510,MAX(Compare!$B$7,B509*Compare!$B$5+IF(Compare!$B$6="Yes",C510,0))))</f>
        <v>0</v>
      </c>
      <c r="E510" s="15" t="n">
        <f aca="false">MAX(0,E509+F510-G510)</f>
        <v>0</v>
      </c>
      <c r="F510" s="15" t="n">
        <f aca="false">IF(E509&lt;=0.005,0,E509*Compare!$B$4/12)</f>
        <v>0</v>
      </c>
      <c r="G510" s="15" t="n">
        <f aca="false">IF(E509&lt;=0.005,0,MIN(E509+F510,Compare!$B$9))</f>
        <v>0</v>
      </c>
      <c r="H510" s="15" t="n">
        <f aca="false">MAX(0,H509+I510-J510)</f>
        <v>0</v>
      </c>
      <c r="I510" s="15" t="n">
        <f aca="false">IF(H509&lt;=0.005,0,H509*Compare!$B$4/12)</f>
        <v>0</v>
      </c>
      <c r="J510" s="15" t="n">
        <f aca="false">IF(H509&lt;=0.005,0,MIN(H509+I510,Compare!$B$9+Compare!$B$8))</f>
        <v>0</v>
      </c>
    </row>
    <row r="511" customFormat="false" ht="15" hidden="false" customHeight="false" outlineLevel="0" collapsed="false">
      <c r="A511" s="3" t="n">
        <v>508</v>
      </c>
      <c r="B511" s="15" t="n">
        <f aca="false">MAX(0,B510+C511-D511)</f>
        <v>0</v>
      </c>
      <c r="C511" s="15" t="n">
        <f aca="false">IF(B510&lt;=0.005,0,B510*Compare!$B$4/12)</f>
        <v>0</v>
      </c>
      <c r="D511" s="15" t="n">
        <f aca="false">IF(B510&lt;=0.005,0,MIN(B510+C511,MAX(Compare!$B$7,B510*Compare!$B$5+IF(Compare!$B$6="Yes",C511,0))))</f>
        <v>0</v>
      </c>
      <c r="E511" s="15" t="n">
        <f aca="false">MAX(0,E510+F511-G511)</f>
        <v>0</v>
      </c>
      <c r="F511" s="15" t="n">
        <f aca="false">IF(E510&lt;=0.005,0,E510*Compare!$B$4/12)</f>
        <v>0</v>
      </c>
      <c r="G511" s="15" t="n">
        <f aca="false">IF(E510&lt;=0.005,0,MIN(E510+F511,Compare!$B$9))</f>
        <v>0</v>
      </c>
      <c r="H511" s="15" t="n">
        <f aca="false">MAX(0,H510+I511-J511)</f>
        <v>0</v>
      </c>
      <c r="I511" s="15" t="n">
        <f aca="false">IF(H510&lt;=0.005,0,H510*Compare!$B$4/12)</f>
        <v>0</v>
      </c>
      <c r="J511" s="15" t="n">
        <f aca="false">IF(H510&lt;=0.005,0,MIN(H510+I511,Compare!$B$9+Compare!$B$8))</f>
        <v>0</v>
      </c>
    </row>
    <row r="512" customFormat="false" ht="15" hidden="false" customHeight="false" outlineLevel="0" collapsed="false">
      <c r="A512" s="3" t="n">
        <v>509</v>
      </c>
      <c r="B512" s="15" t="n">
        <f aca="false">MAX(0,B511+C512-D512)</f>
        <v>0</v>
      </c>
      <c r="C512" s="15" t="n">
        <f aca="false">IF(B511&lt;=0.005,0,B511*Compare!$B$4/12)</f>
        <v>0</v>
      </c>
      <c r="D512" s="15" t="n">
        <f aca="false">IF(B511&lt;=0.005,0,MIN(B511+C512,MAX(Compare!$B$7,B511*Compare!$B$5+IF(Compare!$B$6="Yes",C512,0))))</f>
        <v>0</v>
      </c>
      <c r="E512" s="15" t="n">
        <f aca="false">MAX(0,E511+F512-G512)</f>
        <v>0</v>
      </c>
      <c r="F512" s="15" t="n">
        <f aca="false">IF(E511&lt;=0.005,0,E511*Compare!$B$4/12)</f>
        <v>0</v>
      </c>
      <c r="G512" s="15" t="n">
        <f aca="false">IF(E511&lt;=0.005,0,MIN(E511+F512,Compare!$B$9))</f>
        <v>0</v>
      </c>
      <c r="H512" s="15" t="n">
        <f aca="false">MAX(0,H511+I512-J512)</f>
        <v>0</v>
      </c>
      <c r="I512" s="15" t="n">
        <f aca="false">IF(H511&lt;=0.005,0,H511*Compare!$B$4/12)</f>
        <v>0</v>
      </c>
      <c r="J512" s="15" t="n">
        <f aca="false">IF(H511&lt;=0.005,0,MIN(H511+I512,Compare!$B$9+Compare!$B$8))</f>
        <v>0</v>
      </c>
    </row>
    <row r="513" customFormat="false" ht="15" hidden="false" customHeight="false" outlineLevel="0" collapsed="false">
      <c r="A513" s="3" t="n">
        <v>510</v>
      </c>
      <c r="B513" s="15" t="n">
        <f aca="false">MAX(0,B512+C513-D513)</f>
        <v>0</v>
      </c>
      <c r="C513" s="15" t="n">
        <f aca="false">IF(B512&lt;=0.005,0,B512*Compare!$B$4/12)</f>
        <v>0</v>
      </c>
      <c r="D513" s="15" t="n">
        <f aca="false">IF(B512&lt;=0.005,0,MIN(B512+C513,MAX(Compare!$B$7,B512*Compare!$B$5+IF(Compare!$B$6="Yes",C513,0))))</f>
        <v>0</v>
      </c>
      <c r="E513" s="15" t="n">
        <f aca="false">MAX(0,E512+F513-G513)</f>
        <v>0</v>
      </c>
      <c r="F513" s="15" t="n">
        <f aca="false">IF(E512&lt;=0.005,0,E512*Compare!$B$4/12)</f>
        <v>0</v>
      </c>
      <c r="G513" s="15" t="n">
        <f aca="false">IF(E512&lt;=0.005,0,MIN(E512+F513,Compare!$B$9))</f>
        <v>0</v>
      </c>
      <c r="H513" s="15" t="n">
        <f aca="false">MAX(0,H512+I513-J513)</f>
        <v>0</v>
      </c>
      <c r="I513" s="15" t="n">
        <f aca="false">IF(H512&lt;=0.005,0,H512*Compare!$B$4/12)</f>
        <v>0</v>
      </c>
      <c r="J513" s="15" t="n">
        <f aca="false">IF(H512&lt;=0.005,0,MIN(H512+I513,Compare!$B$9+Compare!$B$8))</f>
        <v>0</v>
      </c>
    </row>
    <row r="514" customFormat="false" ht="15" hidden="false" customHeight="false" outlineLevel="0" collapsed="false">
      <c r="A514" s="3" t="n">
        <v>511</v>
      </c>
      <c r="B514" s="15" t="n">
        <f aca="false">MAX(0,B513+C514-D514)</f>
        <v>0</v>
      </c>
      <c r="C514" s="15" t="n">
        <f aca="false">IF(B513&lt;=0.005,0,B513*Compare!$B$4/12)</f>
        <v>0</v>
      </c>
      <c r="D514" s="15" t="n">
        <f aca="false">IF(B513&lt;=0.005,0,MIN(B513+C514,MAX(Compare!$B$7,B513*Compare!$B$5+IF(Compare!$B$6="Yes",C514,0))))</f>
        <v>0</v>
      </c>
      <c r="E514" s="15" t="n">
        <f aca="false">MAX(0,E513+F514-G514)</f>
        <v>0</v>
      </c>
      <c r="F514" s="15" t="n">
        <f aca="false">IF(E513&lt;=0.005,0,E513*Compare!$B$4/12)</f>
        <v>0</v>
      </c>
      <c r="G514" s="15" t="n">
        <f aca="false">IF(E513&lt;=0.005,0,MIN(E513+F514,Compare!$B$9))</f>
        <v>0</v>
      </c>
      <c r="H514" s="15" t="n">
        <f aca="false">MAX(0,H513+I514-J514)</f>
        <v>0</v>
      </c>
      <c r="I514" s="15" t="n">
        <f aca="false">IF(H513&lt;=0.005,0,H513*Compare!$B$4/12)</f>
        <v>0</v>
      </c>
      <c r="J514" s="15" t="n">
        <f aca="false">IF(H513&lt;=0.005,0,MIN(H513+I514,Compare!$B$9+Compare!$B$8))</f>
        <v>0</v>
      </c>
    </row>
    <row r="515" customFormat="false" ht="15" hidden="false" customHeight="false" outlineLevel="0" collapsed="false">
      <c r="A515" s="3" t="n">
        <v>512</v>
      </c>
      <c r="B515" s="15" t="n">
        <f aca="false">MAX(0,B514+C515-D515)</f>
        <v>0</v>
      </c>
      <c r="C515" s="15" t="n">
        <f aca="false">IF(B514&lt;=0.005,0,B514*Compare!$B$4/12)</f>
        <v>0</v>
      </c>
      <c r="D515" s="15" t="n">
        <f aca="false">IF(B514&lt;=0.005,0,MIN(B514+C515,MAX(Compare!$B$7,B514*Compare!$B$5+IF(Compare!$B$6="Yes",C515,0))))</f>
        <v>0</v>
      </c>
      <c r="E515" s="15" t="n">
        <f aca="false">MAX(0,E514+F515-G515)</f>
        <v>0</v>
      </c>
      <c r="F515" s="15" t="n">
        <f aca="false">IF(E514&lt;=0.005,0,E514*Compare!$B$4/12)</f>
        <v>0</v>
      </c>
      <c r="G515" s="15" t="n">
        <f aca="false">IF(E514&lt;=0.005,0,MIN(E514+F515,Compare!$B$9))</f>
        <v>0</v>
      </c>
      <c r="H515" s="15" t="n">
        <f aca="false">MAX(0,H514+I515-J515)</f>
        <v>0</v>
      </c>
      <c r="I515" s="15" t="n">
        <f aca="false">IF(H514&lt;=0.005,0,H514*Compare!$B$4/12)</f>
        <v>0</v>
      </c>
      <c r="J515" s="15" t="n">
        <f aca="false">IF(H514&lt;=0.005,0,MIN(H514+I515,Compare!$B$9+Compare!$B$8))</f>
        <v>0</v>
      </c>
    </row>
    <row r="516" customFormat="false" ht="15" hidden="false" customHeight="false" outlineLevel="0" collapsed="false">
      <c r="A516" s="3" t="n">
        <v>513</v>
      </c>
      <c r="B516" s="15" t="n">
        <f aca="false">MAX(0,B515+C516-D516)</f>
        <v>0</v>
      </c>
      <c r="C516" s="15" t="n">
        <f aca="false">IF(B515&lt;=0.005,0,B515*Compare!$B$4/12)</f>
        <v>0</v>
      </c>
      <c r="D516" s="15" t="n">
        <f aca="false">IF(B515&lt;=0.005,0,MIN(B515+C516,MAX(Compare!$B$7,B515*Compare!$B$5+IF(Compare!$B$6="Yes",C516,0))))</f>
        <v>0</v>
      </c>
      <c r="E516" s="15" t="n">
        <f aca="false">MAX(0,E515+F516-G516)</f>
        <v>0</v>
      </c>
      <c r="F516" s="15" t="n">
        <f aca="false">IF(E515&lt;=0.005,0,E515*Compare!$B$4/12)</f>
        <v>0</v>
      </c>
      <c r="G516" s="15" t="n">
        <f aca="false">IF(E515&lt;=0.005,0,MIN(E515+F516,Compare!$B$9))</f>
        <v>0</v>
      </c>
      <c r="H516" s="15" t="n">
        <f aca="false">MAX(0,H515+I516-J516)</f>
        <v>0</v>
      </c>
      <c r="I516" s="15" t="n">
        <f aca="false">IF(H515&lt;=0.005,0,H515*Compare!$B$4/12)</f>
        <v>0</v>
      </c>
      <c r="J516" s="15" t="n">
        <f aca="false">IF(H515&lt;=0.005,0,MIN(H515+I516,Compare!$B$9+Compare!$B$8))</f>
        <v>0</v>
      </c>
    </row>
    <row r="517" customFormat="false" ht="15" hidden="false" customHeight="false" outlineLevel="0" collapsed="false">
      <c r="A517" s="3" t="n">
        <v>514</v>
      </c>
      <c r="B517" s="15" t="n">
        <f aca="false">MAX(0,B516+C517-D517)</f>
        <v>0</v>
      </c>
      <c r="C517" s="15" t="n">
        <f aca="false">IF(B516&lt;=0.005,0,B516*Compare!$B$4/12)</f>
        <v>0</v>
      </c>
      <c r="D517" s="15" t="n">
        <f aca="false">IF(B516&lt;=0.005,0,MIN(B516+C517,MAX(Compare!$B$7,B516*Compare!$B$5+IF(Compare!$B$6="Yes",C517,0))))</f>
        <v>0</v>
      </c>
      <c r="E517" s="15" t="n">
        <f aca="false">MAX(0,E516+F517-G517)</f>
        <v>0</v>
      </c>
      <c r="F517" s="15" t="n">
        <f aca="false">IF(E516&lt;=0.005,0,E516*Compare!$B$4/12)</f>
        <v>0</v>
      </c>
      <c r="G517" s="15" t="n">
        <f aca="false">IF(E516&lt;=0.005,0,MIN(E516+F517,Compare!$B$9))</f>
        <v>0</v>
      </c>
      <c r="H517" s="15" t="n">
        <f aca="false">MAX(0,H516+I517-J517)</f>
        <v>0</v>
      </c>
      <c r="I517" s="15" t="n">
        <f aca="false">IF(H516&lt;=0.005,0,H516*Compare!$B$4/12)</f>
        <v>0</v>
      </c>
      <c r="J517" s="15" t="n">
        <f aca="false">IF(H516&lt;=0.005,0,MIN(H516+I517,Compare!$B$9+Compare!$B$8))</f>
        <v>0</v>
      </c>
    </row>
    <row r="518" customFormat="false" ht="15" hidden="false" customHeight="false" outlineLevel="0" collapsed="false">
      <c r="A518" s="3" t="n">
        <v>515</v>
      </c>
      <c r="B518" s="15" t="n">
        <f aca="false">MAX(0,B517+C518-D518)</f>
        <v>0</v>
      </c>
      <c r="C518" s="15" t="n">
        <f aca="false">IF(B517&lt;=0.005,0,B517*Compare!$B$4/12)</f>
        <v>0</v>
      </c>
      <c r="D518" s="15" t="n">
        <f aca="false">IF(B517&lt;=0.005,0,MIN(B517+C518,MAX(Compare!$B$7,B517*Compare!$B$5+IF(Compare!$B$6="Yes",C518,0))))</f>
        <v>0</v>
      </c>
      <c r="E518" s="15" t="n">
        <f aca="false">MAX(0,E517+F518-G518)</f>
        <v>0</v>
      </c>
      <c r="F518" s="15" t="n">
        <f aca="false">IF(E517&lt;=0.005,0,E517*Compare!$B$4/12)</f>
        <v>0</v>
      </c>
      <c r="G518" s="15" t="n">
        <f aca="false">IF(E517&lt;=0.005,0,MIN(E517+F518,Compare!$B$9))</f>
        <v>0</v>
      </c>
      <c r="H518" s="15" t="n">
        <f aca="false">MAX(0,H517+I518-J518)</f>
        <v>0</v>
      </c>
      <c r="I518" s="15" t="n">
        <f aca="false">IF(H517&lt;=0.005,0,H517*Compare!$B$4/12)</f>
        <v>0</v>
      </c>
      <c r="J518" s="15" t="n">
        <f aca="false">IF(H517&lt;=0.005,0,MIN(H517+I518,Compare!$B$9+Compare!$B$8))</f>
        <v>0</v>
      </c>
    </row>
    <row r="519" customFormat="false" ht="15" hidden="false" customHeight="false" outlineLevel="0" collapsed="false">
      <c r="A519" s="3" t="n">
        <v>516</v>
      </c>
      <c r="B519" s="15" t="n">
        <f aca="false">MAX(0,B518+C519-D519)</f>
        <v>0</v>
      </c>
      <c r="C519" s="15" t="n">
        <f aca="false">IF(B518&lt;=0.005,0,B518*Compare!$B$4/12)</f>
        <v>0</v>
      </c>
      <c r="D519" s="15" t="n">
        <f aca="false">IF(B518&lt;=0.005,0,MIN(B518+C519,MAX(Compare!$B$7,B518*Compare!$B$5+IF(Compare!$B$6="Yes",C519,0))))</f>
        <v>0</v>
      </c>
      <c r="E519" s="15" t="n">
        <f aca="false">MAX(0,E518+F519-G519)</f>
        <v>0</v>
      </c>
      <c r="F519" s="15" t="n">
        <f aca="false">IF(E518&lt;=0.005,0,E518*Compare!$B$4/12)</f>
        <v>0</v>
      </c>
      <c r="G519" s="15" t="n">
        <f aca="false">IF(E518&lt;=0.005,0,MIN(E518+F519,Compare!$B$9))</f>
        <v>0</v>
      </c>
      <c r="H519" s="15" t="n">
        <f aca="false">MAX(0,H518+I519-J519)</f>
        <v>0</v>
      </c>
      <c r="I519" s="15" t="n">
        <f aca="false">IF(H518&lt;=0.005,0,H518*Compare!$B$4/12)</f>
        <v>0</v>
      </c>
      <c r="J519" s="15" t="n">
        <f aca="false">IF(H518&lt;=0.005,0,MIN(H518+I519,Compare!$B$9+Compare!$B$8))</f>
        <v>0</v>
      </c>
    </row>
    <row r="520" customFormat="false" ht="15" hidden="false" customHeight="false" outlineLevel="0" collapsed="false">
      <c r="A520" s="3" t="n">
        <v>517</v>
      </c>
      <c r="B520" s="15" t="n">
        <f aca="false">MAX(0,B519+C520-D520)</f>
        <v>0</v>
      </c>
      <c r="C520" s="15" t="n">
        <f aca="false">IF(B519&lt;=0.005,0,B519*Compare!$B$4/12)</f>
        <v>0</v>
      </c>
      <c r="D520" s="15" t="n">
        <f aca="false">IF(B519&lt;=0.005,0,MIN(B519+C520,MAX(Compare!$B$7,B519*Compare!$B$5+IF(Compare!$B$6="Yes",C520,0))))</f>
        <v>0</v>
      </c>
      <c r="E520" s="15" t="n">
        <f aca="false">MAX(0,E519+F520-G520)</f>
        <v>0</v>
      </c>
      <c r="F520" s="15" t="n">
        <f aca="false">IF(E519&lt;=0.005,0,E519*Compare!$B$4/12)</f>
        <v>0</v>
      </c>
      <c r="G520" s="15" t="n">
        <f aca="false">IF(E519&lt;=0.005,0,MIN(E519+F520,Compare!$B$9))</f>
        <v>0</v>
      </c>
      <c r="H520" s="15" t="n">
        <f aca="false">MAX(0,H519+I520-J520)</f>
        <v>0</v>
      </c>
      <c r="I520" s="15" t="n">
        <f aca="false">IF(H519&lt;=0.005,0,H519*Compare!$B$4/12)</f>
        <v>0</v>
      </c>
      <c r="J520" s="15" t="n">
        <f aca="false">IF(H519&lt;=0.005,0,MIN(H519+I520,Compare!$B$9+Compare!$B$8))</f>
        <v>0</v>
      </c>
    </row>
    <row r="521" customFormat="false" ht="15" hidden="false" customHeight="false" outlineLevel="0" collapsed="false">
      <c r="A521" s="3" t="n">
        <v>518</v>
      </c>
      <c r="B521" s="15" t="n">
        <f aca="false">MAX(0,B520+C521-D521)</f>
        <v>0</v>
      </c>
      <c r="C521" s="15" t="n">
        <f aca="false">IF(B520&lt;=0.005,0,B520*Compare!$B$4/12)</f>
        <v>0</v>
      </c>
      <c r="D521" s="15" t="n">
        <f aca="false">IF(B520&lt;=0.005,0,MIN(B520+C521,MAX(Compare!$B$7,B520*Compare!$B$5+IF(Compare!$B$6="Yes",C521,0))))</f>
        <v>0</v>
      </c>
      <c r="E521" s="15" t="n">
        <f aca="false">MAX(0,E520+F521-G521)</f>
        <v>0</v>
      </c>
      <c r="F521" s="15" t="n">
        <f aca="false">IF(E520&lt;=0.005,0,E520*Compare!$B$4/12)</f>
        <v>0</v>
      </c>
      <c r="G521" s="15" t="n">
        <f aca="false">IF(E520&lt;=0.005,0,MIN(E520+F521,Compare!$B$9))</f>
        <v>0</v>
      </c>
      <c r="H521" s="15" t="n">
        <f aca="false">MAX(0,H520+I521-J521)</f>
        <v>0</v>
      </c>
      <c r="I521" s="15" t="n">
        <f aca="false">IF(H520&lt;=0.005,0,H520*Compare!$B$4/12)</f>
        <v>0</v>
      </c>
      <c r="J521" s="15" t="n">
        <f aca="false">IF(H520&lt;=0.005,0,MIN(H520+I521,Compare!$B$9+Compare!$B$8))</f>
        <v>0</v>
      </c>
    </row>
    <row r="522" customFormat="false" ht="15" hidden="false" customHeight="false" outlineLevel="0" collapsed="false">
      <c r="A522" s="3" t="n">
        <v>519</v>
      </c>
      <c r="B522" s="15" t="n">
        <f aca="false">MAX(0,B521+C522-D522)</f>
        <v>0</v>
      </c>
      <c r="C522" s="15" t="n">
        <f aca="false">IF(B521&lt;=0.005,0,B521*Compare!$B$4/12)</f>
        <v>0</v>
      </c>
      <c r="D522" s="15" t="n">
        <f aca="false">IF(B521&lt;=0.005,0,MIN(B521+C522,MAX(Compare!$B$7,B521*Compare!$B$5+IF(Compare!$B$6="Yes",C522,0))))</f>
        <v>0</v>
      </c>
      <c r="E522" s="15" t="n">
        <f aca="false">MAX(0,E521+F522-G522)</f>
        <v>0</v>
      </c>
      <c r="F522" s="15" t="n">
        <f aca="false">IF(E521&lt;=0.005,0,E521*Compare!$B$4/12)</f>
        <v>0</v>
      </c>
      <c r="G522" s="15" t="n">
        <f aca="false">IF(E521&lt;=0.005,0,MIN(E521+F522,Compare!$B$9))</f>
        <v>0</v>
      </c>
      <c r="H522" s="15" t="n">
        <f aca="false">MAX(0,H521+I522-J522)</f>
        <v>0</v>
      </c>
      <c r="I522" s="15" t="n">
        <f aca="false">IF(H521&lt;=0.005,0,H521*Compare!$B$4/12)</f>
        <v>0</v>
      </c>
      <c r="J522" s="15" t="n">
        <f aca="false">IF(H521&lt;=0.005,0,MIN(H521+I522,Compare!$B$9+Compare!$B$8))</f>
        <v>0</v>
      </c>
    </row>
    <row r="523" customFormat="false" ht="15" hidden="false" customHeight="false" outlineLevel="0" collapsed="false">
      <c r="A523" s="3" t="n">
        <v>520</v>
      </c>
      <c r="B523" s="15" t="n">
        <f aca="false">MAX(0,B522+C523-D523)</f>
        <v>0</v>
      </c>
      <c r="C523" s="15" t="n">
        <f aca="false">IF(B522&lt;=0.005,0,B522*Compare!$B$4/12)</f>
        <v>0</v>
      </c>
      <c r="D523" s="15" t="n">
        <f aca="false">IF(B522&lt;=0.005,0,MIN(B522+C523,MAX(Compare!$B$7,B522*Compare!$B$5+IF(Compare!$B$6="Yes",C523,0))))</f>
        <v>0</v>
      </c>
      <c r="E523" s="15" t="n">
        <f aca="false">MAX(0,E522+F523-G523)</f>
        <v>0</v>
      </c>
      <c r="F523" s="15" t="n">
        <f aca="false">IF(E522&lt;=0.005,0,E522*Compare!$B$4/12)</f>
        <v>0</v>
      </c>
      <c r="G523" s="15" t="n">
        <f aca="false">IF(E522&lt;=0.005,0,MIN(E522+F523,Compare!$B$9))</f>
        <v>0</v>
      </c>
      <c r="H523" s="15" t="n">
        <f aca="false">MAX(0,H522+I523-J523)</f>
        <v>0</v>
      </c>
      <c r="I523" s="15" t="n">
        <f aca="false">IF(H522&lt;=0.005,0,H522*Compare!$B$4/12)</f>
        <v>0</v>
      </c>
      <c r="J523" s="15" t="n">
        <f aca="false">IF(H522&lt;=0.005,0,MIN(H522+I523,Compare!$B$9+Compare!$B$8))</f>
        <v>0</v>
      </c>
    </row>
    <row r="524" customFormat="false" ht="15" hidden="false" customHeight="false" outlineLevel="0" collapsed="false">
      <c r="A524" s="3" t="n">
        <v>521</v>
      </c>
      <c r="B524" s="15" t="n">
        <f aca="false">MAX(0,B523+C524-D524)</f>
        <v>0</v>
      </c>
      <c r="C524" s="15" t="n">
        <f aca="false">IF(B523&lt;=0.005,0,B523*Compare!$B$4/12)</f>
        <v>0</v>
      </c>
      <c r="D524" s="15" t="n">
        <f aca="false">IF(B523&lt;=0.005,0,MIN(B523+C524,MAX(Compare!$B$7,B523*Compare!$B$5+IF(Compare!$B$6="Yes",C524,0))))</f>
        <v>0</v>
      </c>
      <c r="E524" s="15" t="n">
        <f aca="false">MAX(0,E523+F524-G524)</f>
        <v>0</v>
      </c>
      <c r="F524" s="15" t="n">
        <f aca="false">IF(E523&lt;=0.005,0,E523*Compare!$B$4/12)</f>
        <v>0</v>
      </c>
      <c r="G524" s="15" t="n">
        <f aca="false">IF(E523&lt;=0.005,0,MIN(E523+F524,Compare!$B$9))</f>
        <v>0</v>
      </c>
      <c r="H524" s="15" t="n">
        <f aca="false">MAX(0,H523+I524-J524)</f>
        <v>0</v>
      </c>
      <c r="I524" s="15" t="n">
        <f aca="false">IF(H523&lt;=0.005,0,H523*Compare!$B$4/12)</f>
        <v>0</v>
      </c>
      <c r="J524" s="15" t="n">
        <f aca="false">IF(H523&lt;=0.005,0,MIN(H523+I524,Compare!$B$9+Compare!$B$8))</f>
        <v>0</v>
      </c>
    </row>
    <row r="525" customFormat="false" ht="15" hidden="false" customHeight="false" outlineLevel="0" collapsed="false">
      <c r="A525" s="3" t="n">
        <v>522</v>
      </c>
      <c r="B525" s="15" t="n">
        <f aca="false">MAX(0,B524+C525-D525)</f>
        <v>0</v>
      </c>
      <c r="C525" s="15" t="n">
        <f aca="false">IF(B524&lt;=0.005,0,B524*Compare!$B$4/12)</f>
        <v>0</v>
      </c>
      <c r="D525" s="15" t="n">
        <f aca="false">IF(B524&lt;=0.005,0,MIN(B524+C525,MAX(Compare!$B$7,B524*Compare!$B$5+IF(Compare!$B$6="Yes",C525,0))))</f>
        <v>0</v>
      </c>
      <c r="E525" s="15" t="n">
        <f aca="false">MAX(0,E524+F525-G525)</f>
        <v>0</v>
      </c>
      <c r="F525" s="15" t="n">
        <f aca="false">IF(E524&lt;=0.005,0,E524*Compare!$B$4/12)</f>
        <v>0</v>
      </c>
      <c r="G525" s="15" t="n">
        <f aca="false">IF(E524&lt;=0.005,0,MIN(E524+F525,Compare!$B$9))</f>
        <v>0</v>
      </c>
      <c r="H525" s="15" t="n">
        <f aca="false">MAX(0,H524+I525-J525)</f>
        <v>0</v>
      </c>
      <c r="I525" s="15" t="n">
        <f aca="false">IF(H524&lt;=0.005,0,H524*Compare!$B$4/12)</f>
        <v>0</v>
      </c>
      <c r="J525" s="15" t="n">
        <f aca="false">IF(H524&lt;=0.005,0,MIN(H524+I525,Compare!$B$9+Compare!$B$8))</f>
        <v>0</v>
      </c>
    </row>
    <row r="526" customFormat="false" ht="15" hidden="false" customHeight="false" outlineLevel="0" collapsed="false">
      <c r="A526" s="3" t="n">
        <v>523</v>
      </c>
      <c r="B526" s="15" t="n">
        <f aca="false">MAX(0,B525+C526-D526)</f>
        <v>0</v>
      </c>
      <c r="C526" s="15" t="n">
        <f aca="false">IF(B525&lt;=0.005,0,B525*Compare!$B$4/12)</f>
        <v>0</v>
      </c>
      <c r="D526" s="15" t="n">
        <f aca="false">IF(B525&lt;=0.005,0,MIN(B525+C526,MAX(Compare!$B$7,B525*Compare!$B$5+IF(Compare!$B$6="Yes",C526,0))))</f>
        <v>0</v>
      </c>
      <c r="E526" s="15" t="n">
        <f aca="false">MAX(0,E525+F526-G526)</f>
        <v>0</v>
      </c>
      <c r="F526" s="15" t="n">
        <f aca="false">IF(E525&lt;=0.005,0,E525*Compare!$B$4/12)</f>
        <v>0</v>
      </c>
      <c r="G526" s="15" t="n">
        <f aca="false">IF(E525&lt;=0.005,0,MIN(E525+F526,Compare!$B$9))</f>
        <v>0</v>
      </c>
      <c r="H526" s="15" t="n">
        <f aca="false">MAX(0,H525+I526-J526)</f>
        <v>0</v>
      </c>
      <c r="I526" s="15" t="n">
        <f aca="false">IF(H525&lt;=0.005,0,H525*Compare!$B$4/12)</f>
        <v>0</v>
      </c>
      <c r="J526" s="15" t="n">
        <f aca="false">IF(H525&lt;=0.005,0,MIN(H525+I526,Compare!$B$9+Compare!$B$8))</f>
        <v>0</v>
      </c>
    </row>
    <row r="527" customFormat="false" ht="15" hidden="false" customHeight="false" outlineLevel="0" collapsed="false">
      <c r="A527" s="3" t="n">
        <v>524</v>
      </c>
      <c r="B527" s="15" t="n">
        <f aca="false">MAX(0,B526+C527-D527)</f>
        <v>0</v>
      </c>
      <c r="C527" s="15" t="n">
        <f aca="false">IF(B526&lt;=0.005,0,B526*Compare!$B$4/12)</f>
        <v>0</v>
      </c>
      <c r="D527" s="15" t="n">
        <f aca="false">IF(B526&lt;=0.005,0,MIN(B526+C527,MAX(Compare!$B$7,B526*Compare!$B$5+IF(Compare!$B$6="Yes",C527,0))))</f>
        <v>0</v>
      </c>
      <c r="E527" s="15" t="n">
        <f aca="false">MAX(0,E526+F527-G527)</f>
        <v>0</v>
      </c>
      <c r="F527" s="15" t="n">
        <f aca="false">IF(E526&lt;=0.005,0,E526*Compare!$B$4/12)</f>
        <v>0</v>
      </c>
      <c r="G527" s="15" t="n">
        <f aca="false">IF(E526&lt;=0.005,0,MIN(E526+F527,Compare!$B$9))</f>
        <v>0</v>
      </c>
      <c r="H527" s="15" t="n">
        <f aca="false">MAX(0,H526+I527-J527)</f>
        <v>0</v>
      </c>
      <c r="I527" s="15" t="n">
        <f aca="false">IF(H526&lt;=0.005,0,H526*Compare!$B$4/12)</f>
        <v>0</v>
      </c>
      <c r="J527" s="15" t="n">
        <f aca="false">IF(H526&lt;=0.005,0,MIN(H526+I527,Compare!$B$9+Compare!$B$8))</f>
        <v>0</v>
      </c>
    </row>
    <row r="528" customFormat="false" ht="15" hidden="false" customHeight="false" outlineLevel="0" collapsed="false">
      <c r="A528" s="3" t="n">
        <v>525</v>
      </c>
      <c r="B528" s="15" t="n">
        <f aca="false">MAX(0,B527+C528-D528)</f>
        <v>0</v>
      </c>
      <c r="C528" s="15" t="n">
        <f aca="false">IF(B527&lt;=0.005,0,B527*Compare!$B$4/12)</f>
        <v>0</v>
      </c>
      <c r="D528" s="15" t="n">
        <f aca="false">IF(B527&lt;=0.005,0,MIN(B527+C528,MAX(Compare!$B$7,B527*Compare!$B$5+IF(Compare!$B$6="Yes",C528,0))))</f>
        <v>0</v>
      </c>
      <c r="E528" s="15" t="n">
        <f aca="false">MAX(0,E527+F528-G528)</f>
        <v>0</v>
      </c>
      <c r="F528" s="15" t="n">
        <f aca="false">IF(E527&lt;=0.005,0,E527*Compare!$B$4/12)</f>
        <v>0</v>
      </c>
      <c r="G528" s="15" t="n">
        <f aca="false">IF(E527&lt;=0.005,0,MIN(E527+F528,Compare!$B$9))</f>
        <v>0</v>
      </c>
      <c r="H528" s="15" t="n">
        <f aca="false">MAX(0,H527+I528-J528)</f>
        <v>0</v>
      </c>
      <c r="I528" s="15" t="n">
        <f aca="false">IF(H527&lt;=0.005,0,H527*Compare!$B$4/12)</f>
        <v>0</v>
      </c>
      <c r="J528" s="15" t="n">
        <f aca="false">IF(H527&lt;=0.005,0,MIN(H527+I528,Compare!$B$9+Compare!$B$8))</f>
        <v>0</v>
      </c>
    </row>
    <row r="529" customFormat="false" ht="15" hidden="false" customHeight="false" outlineLevel="0" collapsed="false">
      <c r="A529" s="3" t="n">
        <v>526</v>
      </c>
      <c r="B529" s="15" t="n">
        <f aca="false">MAX(0,B528+C529-D529)</f>
        <v>0</v>
      </c>
      <c r="C529" s="15" t="n">
        <f aca="false">IF(B528&lt;=0.005,0,B528*Compare!$B$4/12)</f>
        <v>0</v>
      </c>
      <c r="D529" s="15" t="n">
        <f aca="false">IF(B528&lt;=0.005,0,MIN(B528+C529,MAX(Compare!$B$7,B528*Compare!$B$5+IF(Compare!$B$6="Yes",C529,0))))</f>
        <v>0</v>
      </c>
      <c r="E529" s="15" t="n">
        <f aca="false">MAX(0,E528+F529-G529)</f>
        <v>0</v>
      </c>
      <c r="F529" s="15" t="n">
        <f aca="false">IF(E528&lt;=0.005,0,E528*Compare!$B$4/12)</f>
        <v>0</v>
      </c>
      <c r="G529" s="15" t="n">
        <f aca="false">IF(E528&lt;=0.005,0,MIN(E528+F529,Compare!$B$9))</f>
        <v>0</v>
      </c>
      <c r="H529" s="15" t="n">
        <f aca="false">MAX(0,H528+I529-J529)</f>
        <v>0</v>
      </c>
      <c r="I529" s="15" t="n">
        <f aca="false">IF(H528&lt;=0.005,0,H528*Compare!$B$4/12)</f>
        <v>0</v>
      </c>
      <c r="J529" s="15" t="n">
        <f aca="false">IF(H528&lt;=0.005,0,MIN(H528+I529,Compare!$B$9+Compare!$B$8))</f>
        <v>0</v>
      </c>
    </row>
    <row r="530" customFormat="false" ht="15" hidden="false" customHeight="false" outlineLevel="0" collapsed="false">
      <c r="A530" s="3" t="n">
        <v>527</v>
      </c>
      <c r="B530" s="15" t="n">
        <f aca="false">MAX(0,B529+C530-D530)</f>
        <v>0</v>
      </c>
      <c r="C530" s="15" t="n">
        <f aca="false">IF(B529&lt;=0.005,0,B529*Compare!$B$4/12)</f>
        <v>0</v>
      </c>
      <c r="D530" s="15" t="n">
        <f aca="false">IF(B529&lt;=0.005,0,MIN(B529+C530,MAX(Compare!$B$7,B529*Compare!$B$5+IF(Compare!$B$6="Yes",C530,0))))</f>
        <v>0</v>
      </c>
      <c r="E530" s="15" t="n">
        <f aca="false">MAX(0,E529+F530-G530)</f>
        <v>0</v>
      </c>
      <c r="F530" s="15" t="n">
        <f aca="false">IF(E529&lt;=0.005,0,E529*Compare!$B$4/12)</f>
        <v>0</v>
      </c>
      <c r="G530" s="15" t="n">
        <f aca="false">IF(E529&lt;=0.005,0,MIN(E529+F530,Compare!$B$9))</f>
        <v>0</v>
      </c>
      <c r="H530" s="15" t="n">
        <f aca="false">MAX(0,H529+I530-J530)</f>
        <v>0</v>
      </c>
      <c r="I530" s="15" t="n">
        <f aca="false">IF(H529&lt;=0.005,0,H529*Compare!$B$4/12)</f>
        <v>0</v>
      </c>
      <c r="J530" s="15" t="n">
        <f aca="false">IF(H529&lt;=0.005,0,MIN(H529+I530,Compare!$B$9+Compare!$B$8))</f>
        <v>0</v>
      </c>
    </row>
    <row r="531" customFormat="false" ht="15" hidden="false" customHeight="false" outlineLevel="0" collapsed="false">
      <c r="A531" s="3" t="n">
        <v>528</v>
      </c>
      <c r="B531" s="15" t="n">
        <f aca="false">MAX(0,B530+C531-D531)</f>
        <v>0</v>
      </c>
      <c r="C531" s="15" t="n">
        <f aca="false">IF(B530&lt;=0.005,0,B530*Compare!$B$4/12)</f>
        <v>0</v>
      </c>
      <c r="D531" s="15" t="n">
        <f aca="false">IF(B530&lt;=0.005,0,MIN(B530+C531,MAX(Compare!$B$7,B530*Compare!$B$5+IF(Compare!$B$6="Yes",C531,0))))</f>
        <v>0</v>
      </c>
      <c r="E531" s="15" t="n">
        <f aca="false">MAX(0,E530+F531-G531)</f>
        <v>0</v>
      </c>
      <c r="F531" s="15" t="n">
        <f aca="false">IF(E530&lt;=0.005,0,E530*Compare!$B$4/12)</f>
        <v>0</v>
      </c>
      <c r="G531" s="15" t="n">
        <f aca="false">IF(E530&lt;=0.005,0,MIN(E530+F531,Compare!$B$9))</f>
        <v>0</v>
      </c>
      <c r="H531" s="15" t="n">
        <f aca="false">MAX(0,H530+I531-J531)</f>
        <v>0</v>
      </c>
      <c r="I531" s="15" t="n">
        <f aca="false">IF(H530&lt;=0.005,0,H530*Compare!$B$4/12)</f>
        <v>0</v>
      </c>
      <c r="J531" s="15" t="n">
        <f aca="false">IF(H530&lt;=0.005,0,MIN(H530+I531,Compare!$B$9+Compare!$B$8))</f>
        <v>0</v>
      </c>
    </row>
    <row r="532" customFormat="false" ht="15" hidden="false" customHeight="false" outlineLevel="0" collapsed="false">
      <c r="A532" s="3" t="n">
        <v>529</v>
      </c>
      <c r="B532" s="15" t="n">
        <f aca="false">MAX(0,B531+C532-D532)</f>
        <v>0</v>
      </c>
      <c r="C532" s="15" t="n">
        <f aca="false">IF(B531&lt;=0.005,0,B531*Compare!$B$4/12)</f>
        <v>0</v>
      </c>
      <c r="D532" s="15" t="n">
        <f aca="false">IF(B531&lt;=0.005,0,MIN(B531+C532,MAX(Compare!$B$7,B531*Compare!$B$5+IF(Compare!$B$6="Yes",C532,0))))</f>
        <v>0</v>
      </c>
      <c r="E532" s="15" t="n">
        <f aca="false">MAX(0,E531+F532-G532)</f>
        <v>0</v>
      </c>
      <c r="F532" s="15" t="n">
        <f aca="false">IF(E531&lt;=0.005,0,E531*Compare!$B$4/12)</f>
        <v>0</v>
      </c>
      <c r="G532" s="15" t="n">
        <f aca="false">IF(E531&lt;=0.005,0,MIN(E531+F532,Compare!$B$9))</f>
        <v>0</v>
      </c>
      <c r="H532" s="15" t="n">
        <f aca="false">MAX(0,H531+I532-J532)</f>
        <v>0</v>
      </c>
      <c r="I532" s="15" t="n">
        <f aca="false">IF(H531&lt;=0.005,0,H531*Compare!$B$4/12)</f>
        <v>0</v>
      </c>
      <c r="J532" s="15" t="n">
        <f aca="false">IF(H531&lt;=0.005,0,MIN(H531+I532,Compare!$B$9+Compare!$B$8))</f>
        <v>0</v>
      </c>
    </row>
    <row r="533" customFormat="false" ht="15" hidden="false" customHeight="false" outlineLevel="0" collapsed="false">
      <c r="A533" s="3" t="n">
        <v>530</v>
      </c>
      <c r="B533" s="15" t="n">
        <f aca="false">MAX(0,B532+C533-D533)</f>
        <v>0</v>
      </c>
      <c r="C533" s="15" t="n">
        <f aca="false">IF(B532&lt;=0.005,0,B532*Compare!$B$4/12)</f>
        <v>0</v>
      </c>
      <c r="D533" s="15" t="n">
        <f aca="false">IF(B532&lt;=0.005,0,MIN(B532+C533,MAX(Compare!$B$7,B532*Compare!$B$5+IF(Compare!$B$6="Yes",C533,0))))</f>
        <v>0</v>
      </c>
      <c r="E533" s="15" t="n">
        <f aca="false">MAX(0,E532+F533-G533)</f>
        <v>0</v>
      </c>
      <c r="F533" s="15" t="n">
        <f aca="false">IF(E532&lt;=0.005,0,E532*Compare!$B$4/12)</f>
        <v>0</v>
      </c>
      <c r="G533" s="15" t="n">
        <f aca="false">IF(E532&lt;=0.005,0,MIN(E532+F533,Compare!$B$9))</f>
        <v>0</v>
      </c>
      <c r="H533" s="15" t="n">
        <f aca="false">MAX(0,H532+I533-J533)</f>
        <v>0</v>
      </c>
      <c r="I533" s="15" t="n">
        <f aca="false">IF(H532&lt;=0.005,0,H532*Compare!$B$4/12)</f>
        <v>0</v>
      </c>
      <c r="J533" s="15" t="n">
        <f aca="false">IF(H532&lt;=0.005,0,MIN(H532+I533,Compare!$B$9+Compare!$B$8))</f>
        <v>0</v>
      </c>
    </row>
    <row r="534" customFormat="false" ht="15" hidden="false" customHeight="false" outlineLevel="0" collapsed="false">
      <c r="A534" s="3" t="n">
        <v>531</v>
      </c>
      <c r="B534" s="15" t="n">
        <f aca="false">MAX(0,B533+C534-D534)</f>
        <v>0</v>
      </c>
      <c r="C534" s="15" t="n">
        <f aca="false">IF(B533&lt;=0.005,0,B533*Compare!$B$4/12)</f>
        <v>0</v>
      </c>
      <c r="D534" s="15" t="n">
        <f aca="false">IF(B533&lt;=0.005,0,MIN(B533+C534,MAX(Compare!$B$7,B533*Compare!$B$5+IF(Compare!$B$6="Yes",C534,0))))</f>
        <v>0</v>
      </c>
      <c r="E534" s="15" t="n">
        <f aca="false">MAX(0,E533+F534-G534)</f>
        <v>0</v>
      </c>
      <c r="F534" s="15" t="n">
        <f aca="false">IF(E533&lt;=0.005,0,E533*Compare!$B$4/12)</f>
        <v>0</v>
      </c>
      <c r="G534" s="15" t="n">
        <f aca="false">IF(E533&lt;=0.005,0,MIN(E533+F534,Compare!$B$9))</f>
        <v>0</v>
      </c>
      <c r="H534" s="15" t="n">
        <f aca="false">MAX(0,H533+I534-J534)</f>
        <v>0</v>
      </c>
      <c r="I534" s="15" t="n">
        <f aca="false">IF(H533&lt;=0.005,0,H533*Compare!$B$4/12)</f>
        <v>0</v>
      </c>
      <c r="J534" s="15" t="n">
        <f aca="false">IF(H533&lt;=0.005,0,MIN(H533+I534,Compare!$B$9+Compare!$B$8))</f>
        <v>0</v>
      </c>
    </row>
    <row r="535" customFormat="false" ht="15" hidden="false" customHeight="false" outlineLevel="0" collapsed="false">
      <c r="A535" s="3" t="n">
        <v>532</v>
      </c>
      <c r="B535" s="15" t="n">
        <f aca="false">MAX(0,B534+C535-D535)</f>
        <v>0</v>
      </c>
      <c r="C535" s="15" t="n">
        <f aca="false">IF(B534&lt;=0.005,0,B534*Compare!$B$4/12)</f>
        <v>0</v>
      </c>
      <c r="D535" s="15" t="n">
        <f aca="false">IF(B534&lt;=0.005,0,MIN(B534+C535,MAX(Compare!$B$7,B534*Compare!$B$5+IF(Compare!$B$6="Yes",C535,0))))</f>
        <v>0</v>
      </c>
      <c r="E535" s="15" t="n">
        <f aca="false">MAX(0,E534+F535-G535)</f>
        <v>0</v>
      </c>
      <c r="F535" s="15" t="n">
        <f aca="false">IF(E534&lt;=0.005,0,E534*Compare!$B$4/12)</f>
        <v>0</v>
      </c>
      <c r="G535" s="15" t="n">
        <f aca="false">IF(E534&lt;=0.005,0,MIN(E534+F535,Compare!$B$9))</f>
        <v>0</v>
      </c>
      <c r="H535" s="15" t="n">
        <f aca="false">MAX(0,H534+I535-J535)</f>
        <v>0</v>
      </c>
      <c r="I535" s="15" t="n">
        <f aca="false">IF(H534&lt;=0.005,0,H534*Compare!$B$4/12)</f>
        <v>0</v>
      </c>
      <c r="J535" s="15" t="n">
        <f aca="false">IF(H534&lt;=0.005,0,MIN(H534+I535,Compare!$B$9+Compare!$B$8))</f>
        <v>0</v>
      </c>
    </row>
    <row r="536" customFormat="false" ht="15" hidden="false" customHeight="false" outlineLevel="0" collapsed="false">
      <c r="A536" s="3" t="n">
        <v>533</v>
      </c>
      <c r="B536" s="15" t="n">
        <f aca="false">MAX(0,B535+C536-D536)</f>
        <v>0</v>
      </c>
      <c r="C536" s="15" t="n">
        <f aca="false">IF(B535&lt;=0.005,0,B535*Compare!$B$4/12)</f>
        <v>0</v>
      </c>
      <c r="D536" s="15" t="n">
        <f aca="false">IF(B535&lt;=0.005,0,MIN(B535+C536,MAX(Compare!$B$7,B535*Compare!$B$5+IF(Compare!$B$6="Yes",C536,0))))</f>
        <v>0</v>
      </c>
      <c r="E536" s="15" t="n">
        <f aca="false">MAX(0,E535+F536-G536)</f>
        <v>0</v>
      </c>
      <c r="F536" s="15" t="n">
        <f aca="false">IF(E535&lt;=0.005,0,E535*Compare!$B$4/12)</f>
        <v>0</v>
      </c>
      <c r="G536" s="15" t="n">
        <f aca="false">IF(E535&lt;=0.005,0,MIN(E535+F536,Compare!$B$9))</f>
        <v>0</v>
      </c>
      <c r="H536" s="15" t="n">
        <f aca="false">MAX(0,H535+I536-J536)</f>
        <v>0</v>
      </c>
      <c r="I536" s="15" t="n">
        <f aca="false">IF(H535&lt;=0.005,0,H535*Compare!$B$4/12)</f>
        <v>0</v>
      </c>
      <c r="J536" s="15" t="n">
        <f aca="false">IF(H535&lt;=0.005,0,MIN(H535+I536,Compare!$B$9+Compare!$B$8))</f>
        <v>0</v>
      </c>
    </row>
    <row r="537" customFormat="false" ht="15" hidden="false" customHeight="false" outlineLevel="0" collapsed="false">
      <c r="A537" s="3" t="n">
        <v>534</v>
      </c>
      <c r="B537" s="15" t="n">
        <f aca="false">MAX(0,B536+C537-D537)</f>
        <v>0</v>
      </c>
      <c r="C537" s="15" t="n">
        <f aca="false">IF(B536&lt;=0.005,0,B536*Compare!$B$4/12)</f>
        <v>0</v>
      </c>
      <c r="D537" s="15" t="n">
        <f aca="false">IF(B536&lt;=0.005,0,MIN(B536+C537,MAX(Compare!$B$7,B536*Compare!$B$5+IF(Compare!$B$6="Yes",C537,0))))</f>
        <v>0</v>
      </c>
      <c r="E537" s="15" t="n">
        <f aca="false">MAX(0,E536+F537-G537)</f>
        <v>0</v>
      </c>
      <c r="F537" s="15" t="n">
        <f aca="false">IF(E536&lt;=0.005,0,E536*Compare!$B$4/12)</f>
        <v>0</v>
      </c>
      <c r="G537" s="15" t="n">
        <f aca="false">IF(E536&lt;=0.005,0,MIN(E536+F537,Compare!$B$9))</f>
        <v>0</v>
      </c>
      <c r="H537" s="15" t="n">
        <f aca="false">MAX(0,H536+I537-J537)</f>
        <v>0</v>
      </c>
      <c r="I537" s="15" t="n">
        <f aca="false">IF(H536&lt;=0.005,0,H536*Compare!$B$4/12)</f>
        <v>0</v>
      </c>
      <c r="J537" s="15" t="n">
        <f aca="false">IF(H536&lt;=0.005,0,MIN(H536+I537,Compare!$B$9+Compare!$B$8))</f>
        <v>0</v>
      </c>
    </row>
    <row r="538" customFormat="false" ht="15" hidden="false" customHeight="false" outlineLevel="0" collapsed="false">
      <c r="A538" s="3" t="n">
        <v>535</v>
      </c>
      <c r="B538" s="15" t="n">
        <f aca="false">MAX(0,B537+C538-D538)</f>
        <v>0</v>
      </c>
      <c r="C538" s="15" t="n">
        <f aca="false">IF(B537&lt;=0.005,0,B537*Compare!$B$4/12)</f>
        <v>0</v>
      </c>
      <c r="D538" s="15" t="n">
        <f aca="false">IF(B537&lt;=0.005,0,MIN(B537+C538,MAX(Compare!$B$7,B537*Compare!$B$5+IF(Compare!$B$6="Yes",C538,0))))</f>
        <v>0</v>
      </c>
      <c r="E538" s="15" t="n">
        <f aca="false">MAX(0,E537+F538-G538)</f>
        <v>0</v>
      </c>
      <c r="F538" s="15" t="n">
        <f aca="false">IF(E537&lt;=0.005,0,E537*Compare!$B$4/12)</f>
        <v>0</v>
      </c>
      <c r="G538" s="15" t="n">
        <f aca="false">IF(E537&lt;=0.005,0,MIN(E537+F538,Compare!$B$9))</f>
        <v>0</v>
      </c>
      <c r="H538" s="15" t="n">
        <f aca="false">MAX(0,H537+I538-J538)</f>
        <v>0</v>
      </c>
      <c r="I538" s="15" t="n">
        <f aca="false">IF(H537&lt;=0.005,0,H537*Compare!$B$4/12)</f>
        <v>0</v>
      </c>
      <c r="J538" s="15" t="n">
        <f aca="false">IF(H537&lt;=0.005,0,MIN(H537+I538,Compare!$B$9+Compare!$B$8))</f>
        <v>0</v>
      </c>
    </row>
    <row r="539" customFormat="false" ht="15" hidden="false" customHeight="false" outlineLevel="0" collapsed="false">
      <c r="A539" s="3" t="n">
        <v>536</v>
      </c>
      <c r="B539" s="15" t="n">
        <f aca="false">MAX(0,B538+C539-D539)</f>
        <v>0</v>
      </c>
      <c r="C539" s="15" t="n">
        <f aca="false">IF(B538&lt;=0.005,0,B538*Compare!$B$4/12)</f>
        <v>0</v>
      </c>
      <c r="D539" s="15" t="n">
        <f aca="false">IF(B538&lt;=0.005,0,MIN(B538+C539,MAX(Compare!$B$7,B538*Compare!$B$5+IF(Compare!$B$6="Yes",C539,0))))</f>
        <v>0</v>
      </c>
      <c r="E539" s="15" t="n">
        <f aca="false">MAX(0,E538+F539-G539)</f>
        <v>0</v>
      </c>
      <c r="F539" s="15" t="n">
        <f aca="false">IF(E538&lt;=0.005,0,E538*Compare!$B$4/12)</f>
        <v>0</v>
      </c>
      <c r="G539" s="15" t="n">
        <f aca="false">IF(E538&lt;=0.005,0,MIN(E538+F539,Compare!$B$9))</f>
        <v>0</v>
      </c>
      <c r="H539" s="15" t="n">
        <f aca="false">MAX(0,H538+I539-J539)</f>
        <v>0</v>
      </c>
      <c r="I539" s="15" t="n">
        <f aca="false">IF(H538&lt;=0.005,0,H538*Compare!$B$4/12)</f>
        <v>0</v>
      </c>
      <c r="J539" s="15" t="n">
        <f aca="false">IF(H538&lt;=0.005,0,MIN(H538+I539,Compare!$B$9+Compare!$B$8))</f>
        <v>0</v>
      </c>
    </row>
    <row r="540" customFormat="false" ht="15" hidden="false" customHeight="false" outlineLevel="0" collapsed="false">
      <c r="A540" s="3" t="n">
        <v>537</v>
      </c>
      <c r="B540" s="15" t="n">
        <f aca="false">MAX(0,B539+C540-D540)</f>
        <v>0</v>
      </c>
      <c r="C540" s="15" t="n">
        <f aca="false">IF(B539&lt;=0.005,0,B539*Compare!$B$4/12)</f>
        <v>0</v>
      </c>
      <c r="D540" s="15" t="n">
        <f aca="false">IF(B539&lt;=0.005,0,MIN(B539+C540,MAX(Compare!$B$7,B539*Compare!$B$5+IF(Compare!$B$6="Yes",C540,0))))</f>
        <v>0</v>
      </c>
      <c r="E540" s="15" t="n">
        <f aca="false">MAX(0,E539+F540-G540)</f>
        <v>0</v>
      </c>
      <c r="F540" s="15" t="n">
        <f aca="false">IF(E539&lt;=0.005,0,E539*Compare!$B$4/12)</f>
        <v>0</v>
      </c>
      <c r="G540" s="15" t="n">
        <f aca="false">IF(E539&lt;=0.005,0,MIN(E539+F540,Compare!$B$9))</f>
        <v>0</v>
      </c>
      <c r="H540" s="15" t="n">
        <f aca="false">MAX(0,H539+I540-J540)</f>
        <v>0</v>
      </c>
      <c r="I540" s="15" t="n">
        <f aca="false">IF(H539&lt;=0.005,0,H539*Compare!$B$4/12)</f>
        <v>0</v>
      </c>
      <c r="J540" s="15" t="n">
        <f aca="false">IF(H539&lt;=0.005,0,MIN(H539+I540,Compare!$B$9+Compare!$B$8))</f>
        <v>0</v>
      </c>
    </row>
    <row r="541" customFormat="false" ht="15" hidden="false" customHeight="false" outlineLevel="0" collapsed="false">
      <c r="A541" s="3" t="n">
        <v>538</v>
      </c>
      <c r="B541" s="15" t="n">
        <f aca="false">MAX(0,B540+C541-D541)</f>
        <v>0</v>
      </c>
      <c r="C541" s="15" t="n">
        <f aca="false">IF(B540&lt;=0.005,0,B540*Compare!$B$4/12)</f>
        <v>0</v>
      </c>
      <c r="D541" s="15" t="n">
        <f aca="false">IF(B540&lt;=0.005,0,MIN(B540+C541,MAX(Compare!$B$7,B540*Compare!$B$5+IF(Compare!$B$6="Yes",C541,0))))</f>
        <v>0</v>
      </c>
      <c r="E541" s="15" t="n">
        <f aca="false">MAX(0,E540+F541-G541)</f>
        <v>0</v>
      </c>
      <c r="F541" s="15" t="n">
        <f aca="false">IF(E540&lt;=0.005,0,E540*Compare!$B$4/12)</f>
        <v>0</v>
      </c>
      <c r="G541" s="15" t="n">
        <f aca="false">IF(E540&lt;=0.005,0,MIN(E540+F541,Compare!$B$9))</f>
        <v>0</v>
      </c>
      <c r="H541" s="15" t="n">
        <f aca="false">MAX(0,H540+I541-J541)</f>
        <v>0</v>
      </c>
      <c r="I541" s="15" t="n">
        <f aca="false">IF(H540&lt;=0.005,0,H540*Compare!$B$4/12)</f>
        <v>0</v>
      </c>
      <c r="J541" s="15" t="n">
        <f aca="false">IF(H540&lt;=0.005,0,MIN(H540+I541,Compare!$B$9+Compare!$B$8))</f>
        <v>0</v>
      </c>
    </row>
    <row r="542" customFormat="false" ht="15" hidden="false" customHeight="false" outlineLevel="0" collapsed="false">
      <c r="A542" s="3" t="n">
        <v>539</v>
      </c>
      <c r="B542" s="15" t="n">
        <f aca="false">MAX(0,B541+C542-D542)</f>
        <v>0</v>
      </c>
      <c r="C542" s="15" t="n">
        <f aca="false">IF(B541&lt;=0.005,0,B541*Compare!$B$4/12)</f>
        <v>0</v>
      </c>
      <c r="D542" s="15" t="n">
        <f aca="false">IF(B541&lt;=0.005,0,MIN(B541+C542,MAX(Compare!$B$7,B541*Compare!$B$5+IF(Compare!$B$6="Yes",C542,0))))</f>
        <v>0</v>
      </c>
      <c r="E542" s="15" t="n">
        <f aca="false">MAX(0,E541+F542-G542)</f>
        <v>0</v>
      </c>
      <c r="F542" s="15" t="n">
        <f aca="false">IF(E541&lt;=0.005,0,E541*Compare!$B$4/12)</f>
        <v>0</v>
      </c>
      <c r="G542" s="15" t="n">
        <f aca="false">IF(E541&lt;=0.005,0,MIN(E541+F542,Compare!$B$9))</f>
        <v>0</v>
      </c>
      <c r="H542" s="15" t="n">
        <f aca="false">MAX(0,H541+I542-J542)</f>
        <v>0</v>
      </c>
      <c r="I542" s="15" t="n">
        <f aca="false">IF(H541&lt;=0.005,0,H541*Compare!$B$4/12)</f>
        <v>0</v>
      </c>
      <c r="J542" s="15" t="n">
        <f aca="false">IF(H541&lt;=0.005,0,MIN(H541+I542,Compare!$B$9+Compare!$B$8))</f>
        <v>0</v>
      </c>
    </row>
    <row r="543" customFormat="false" ht="15" hidden="false" customHeight="false" outlineLevel="0" collapsed="false">
      <c r="A543" s="3" t="n">
        <v>540</v>
      </c>
      <c r="B543" s="15" t="n">
        <f aca="false">MAX(0,B542+C543-D543)</f>
        <v>0</v>
      </c>
      <c r="C543" s="15" t="n">
        <f aca="false">IF(B542&lt;=0.005,0,B542*Compare!$B$4/12)</f>
        <v>0</v>
      </c>
      <c r="D543" s="15" t="n">
        <f aca="false">IF(B542&lt;=0.005,0,MIN(B542+C543,MAX(Compare!$B$7,B542*Compare!$B$5+IF(Compare!$B$6="Yes",C543,0))))</f>
        <v>0</v>
      </c>
      <c r="E543" s="15" t="n">
        <f aca="false">MAX(0,E542+F543-G543)</f>
        <v>0</v>
      </c>
      <c r="F543" s="15" t="n">
        <f aca="false">IF(E542&lt;=0.005,0,E542*Compare!$B$4/12)</f>
        <v>0</v>
      </c>
      <c r="G543" s="15" t="n">
        <f aca="false">IF(E542&lt;=0.005,0,MIN(E542+F543,Compare!$B$9))</f>
        <v>0</v>
      </c>
      <c r="H543" s="15" t="n">
        <f aca="false">MAX(0,H542+I543-J543)</f>
        <v>0</v>
      </c>
      <c r="I543" s="15" t="n">
        <f aca="false">IF(H542&lt;=0.005,0,H542*Compare!$B$4/12)</f>
        <v>0</v>
      </c>
      <c r="J543" s="15" t="n">
        <f aca="false">IF(H542&lt;=0.005,0,MIN(H542+I543,Compare!$B$9+Compare!$B$8))</f>
        <v>0</v>
      </c>
    </row>
    <row r="544" customFormat="false" ht="15" hidden="false" customHeight="false" outlineLevel="0" collapsed="false">
      <c r="A544" s="3" t="n">
        <v>541</v>
      </c>
      <c r="B544" s="15" t="n">
        <f aca="false">MAX(0,B543+C544-D544)</f>
        <v>0</v>
      </c>
      <c r="C544" s="15" t="n">
        <f aca="false">IF(B543&lt;=0.005,0,B543*Compare!$B$4/12)</f>
        <v>0</v>
      </c>
      <c r="D544" s="15" t="n">
        <f aca="false">IF(B543&lt;=0.005,0,MIN(B543+C544,MAX(Compare!$B$7,B543*Compare!$B$5+IF(Compare!$B$6="Yes",C544,0))))</f>
        <v>0</v>
      </c>
      <c r="E544" s="15" t="n">
        <f aca="false">MAX(0,E543+F544-G544)</f>
        <v>0</v>
      </c>
      <c r="F544" s="15" t="n">
        <f aca="false">IF(E543&lt;=0.005,0,E543*Compare!$B$4/12)</f>
        <v>0</v>
      </c>
      <c r="G544" s="15" t="n">
        <f aca="false">IF(E543&lt;=0.005,0,MIN(E543+F544,Compare!$B$9))</f>
        <v>0</v>
      </c>
      <c r="H544" s="15" t="n">
        <f aca="false">MAX(0,H543+I544-J544)</f>
        <v>0</v>
      </c>
      <c r="I544" s="15" t="n">
        <f aca="false">IF(H543&lt;=0.005,0,H543*Compare!$B$4/12)</f>
        <v>0</v>
      </c>
      <c r="J544" s="15" t="n">
        <f aca="false">IF(H543&lt;=0.005,0,MIN(H543+I544,Compare!$B$9+Compare!$B$8))</f>
        <v>0</v>
      </c>
    </row>
    <row r="545" customFormat="false" ht="15" hidden="false" customHeight="false" outlineLevel="0" collapsed="false">
      <c r="A545" s="3" t="n">
        <v>542</v>
      </c>
      <c r="B545" s="15" t="n">
        <f aca="false">MAX(0,B544+C545-D545)</f>
        <v>0</v>
      </c>
      <c r="C545" s="15" t="n">
        <f aca="false">IF(B544&lt;=0.005,0,B544*Compare!$B$4/12)</f>
        <v>0</v>
      </c>
      <c r="D545" s="15" t="n">
        <f aca="false">IF(B544&lt;=0.005,0,MIN(B544+C545,MAX(Compare!$B$7,B544*Compare!$B$5+IF(Compare!$B$6="Yes",C545,0))))</f>
        <v>0</v>
      </c>
      <c r="E545" s="15" t="n">
        <f aca="false">MAX(0,E544+F545-G545)</f>
        <v>0</v>
      </c>
      <c r="F545" s="15" t="n">
        <f aca="false">IF(E544&lt;=0.005,0,E544*Compare!$B$4/12)</f>
        <v>0</v>
      </c>
      <c r="G545" s="15" t="n">
        <f aca="false">IF(E544&lt;=0.005,0,MIN(E544+F545,Compare!$B$9))</f>
        <v>0</v>
      </c>
      <c r="H545" s="15" t="n">
        <f aca="false">MAX(0,H544+I545-J545)</f>
        <v>0</v>
      </c>
      <c r="I545" s="15" t="n">
        <f aca="false">IF(H544&lt;=0.005,0,H544*Compare!$B$4/12)</f>
        <v>0</v>
      </c>
      <c r="J545" s="15" t="n">
        <f aca="false">IF(H544&lt;=0.005,0,MIN(H544+I545,Compare!$B$9+Compare!$B$8))</f>
        <v>0</v>
      </c>
    </row>
    <row r="546" customFormat="false" ht="15" hidden="false" customHeight="false" outlineLevel="0" collapsed="false">
      <c r="A546" s="3" t="n">
        <v>543</v>
      </c>
      <c r="B546" s="15" t="n">
        <f aca="false">MAX(0,B545+C546-D546)</f>
        <v>0</v>
      </c>
      <c r="C546" s="15" t="n">
        <f aca="false">IF(B545&lt;=0.005,0,B545*Compare!$B$4/12)</f>
        <v>0</v>
      </c>
      <c r="D546" s="15" t="n">
        <f aca="false">IF(B545&lt;=0.005,0,MIN(B545+C546,MAX(Compare!$B$7,B545*Compare!$B$5+IF(Compare!$B$6="Yes",C546,0))))</f>
        <v>0</v>
      </c>
      <c r="E546" s="15" t="n">
        <f aca="false">MAX(0,E545+F546-G546)</f>
        <v>0</v>
      </c>
      <c r="F546" s="15" t="n">
        <f aca="false">IF(E545&lt;=0.005,0,E545*Compare!$B$4/12)</f>
        <v>0</v>
      </c>
      <c r="G546" s="15" t="n">
        <f aca="false">IF(E545&lt;=0.005,0,MIN(E545+F546,Compare!$B$9))</f>
        <v>0</v>
      </c>
      <c r="H546" s="15" t="n">
        <f aca="false">MAX(0,H545+I546-J546)</f>
        <v>0</v>
      </c>
      <c r="I546" s="15" t="n">
        <f aca="false">IF(H545&lt;=0.005,0,H545*Compare!$B$4/12)</f>
        <v>0</v>
      </c>
      <c r="J546" s="15" t="n">
        <f aca="false">IF(H545&lt;=0.005,0,MIN(H545+I546,Compare!$B$9+Compare!$B$8))</f>
        <v>0</v>
      </c>
    </row>
    <row r="547" customFormat="false" ht="15" hidden="false" customHeight="false" outlineLevel="0" collapsed="false">
      <c r="A547" s="3" t="n">
        <v>544</v>
      </c>
      <c r="B547" s="15" t="n">
        <f aca="false">MAX(0,B546+C547-D547)</f>
        <v>0</v>
      </c>
      <c r="C547" s="15" t="n">
        <f aca="false">IF(B546&lt;=0.005,0,B546*Compare!$B$4/12)</f>
        <v>0</v>
      </c>
      <c r="D547" s="15" t="n">
        <f aca="false">IF(B546&lt;=0.005,0,MIN(B546+C547,MAX(Compare!$B$7,B546*Compare!$B$5+IF(Compare!$B$6="Yes",C547,0))))</f>
        <v>0</v>
      </c>
      <c r="E547" s="15" t="n">
        <f aca="false">MAX(0,E546+F547-G547)</f>
        <v>0</v>
      </c>
      <c r="F547" s="15" t="n">
        <f aca="false">IF(E546&lt;=0.005,0,E546*Compare!$B$4/12)</f>
        <v>0</v>
      </c>
      <c r="G547" s="15" t="n">
        <f aca="false">IF(E546&lt;=0.005,0,MIN(E546+F547,Compare!$B$9))</f>
        <v>0</v>
      </c>
      <c r="H547" s="15" t="n">
        <f aca="false">MAX(0,H546+I547-J547)</f>
        <v>0</v>
      </c>
      <c r="I547" s="15" t="n">
        <f aca="false">IF(H546&lt;=0.005,0,H546*Compare!$B$4/12)</f>
        <v>0</v>
      </c>
      <c r="J547" s="15" t="n">
        <f aca="false">IF(H546&lt;=0.005,0,MIN(H546+I547,Compare!$B$9+Compare!$B$8))</f>
        <v>0</v>
      </c>
    </row>
    <row r="548" customFormat="false" ht="15" hidden="false" customHeight="false" outlineLevel="0" collapsed="false">
      <c r="A548" s="3" t="n">
        <v>545</v>
      </c>
      <c r="B548" s="15" t="n">
        <f aca="false">MAX(0,B547+C548-D548)</f>
        <v>0</v>
      </c>
      <c r="C548" s="15" t="n">
        <f aca="false">IF(B547&lt;=0.005,0,B547*Compare!$B$4/12)</f>
        <v>0</v>
      </c>
      <c r="D548" s="15" t="n">
        <f aca="false">IF(B547&lt;=0.005,0,MIN(B547+C548,MAX(Compare!$B$7,B547*Compare!$B$5+IF(Compare!$B$6="Yes",C548,0))))</f>
        <v>0</v>
      </c>
      <c r="E548" s="15" t="n">
        <f aca="false">MAX(0,E547+F548-G548)</f>
        <v>0</v>
      </c>
      <c r="F548" s="15" t="n">
        <f aca="false">IF(E547&lt;=0.005,0,E547*Compare!$B$4/12)</f>
        <v>0</v>
      </c>
      <c r="G548" s="15" t="n">
        <f aca="false">IF(E547&lt;=0.005,0,MIN(E547+F548,Compare!$B$9))</f>
        <v>0</v>
      </c>
      <c r="H548" s="15" t="n">
        <f aca="false">MAX(0,H547+I548-J548)</f>
        <v>0</v>
      </c>
      <c r="I548" s="15" t="n">
        <f aca="false">IF(H547&lt;=0.005,0,H547*Compare!$B$4/12)</f>
        <v>0</v>
      </c>
      <c r="J548" s="15" t="n">
        <f aca="false">IF(H547&lt;=0.005,0,MIN(H547+I548,Compare!$B$9+Compare!$B$8))</f>
        <v>0</v>
      </c>
    </row>
    <row r="549" customFormat="false" ht="15" hidden="false" customHeight="false" outlineLevel="0" collapsed="false">
      <c r="A549" s="3" t="n">
        <v>546</v>
      </c>
      <c r="B549" s="15" t="n">
        <f aca="false">MAX(0,B548+C549-D549)</f>
        <v>0</v>
      </c>
      <c r="C549" s="15" t="n">
        <f aca="false">IF(B548&lt;=0.005,0,B548*Compare!$B$4/12)</f>
        <v>0</v>
      </c>
      <c r="D549" s="15" t="n">
        <f aca="false">IF(B548&lt;=0.005,0,MIN(B548+C549,MAX(Compare!$B$7,B548*Compare!$B$5+IF(Compare!$B$6="Yes",C549,0))))</f>
        <v>0</v>
      </c>
      <c r="E549" s="15" t="n">
        <f aca="false">MAX(0,E548+F549-G549)</f>
        <v>0</v>
      </c>
      <c r="F549" s="15" t="n">
        <f aca="false">IF(E548&lt;=0.005,0,E548*Compare!$B$4/12)</f>
        <v>0</v>
      </c>
      <c r="G549" s="15" t="n">
        <f aca="false">IF(E548&lt;=0.005,0,MIN(E548+F549,Compare!$B$9))</f>
        <v>0</v>
      </c>
      <c r="H549" s="15" t="n">
        <f aca="false">MAX(0,H548+I549-J549)</f>
        <v>0</v>
      </c>
      <c r="I549" s="15" t="n">
        <f aca="false">IF(H548&lt;=0.005,0,H548*Compare!$B$4/12)</f>
        <v>0</v>
      </c>
      <c r="J549" s="15" t="n">
        <f aca="false">IF(H548&lt;=0.005,0,MIN(H548+I549,Compare!$B$9+Compare!$B$8))</f>
        <v>0</v>
      </c>
    </row>
    <row r="550" customFormat="false" ht="15" hidden="false" customHeight="false" outlineLevel="0" collapsed="false">
      <c r="A550" s="3" t="n">
        <v>547</v>
      </c>
      <c r="B550" s="15" t="n">
        <f aca="false">MAX(0,B549+C550-D550)</f>
        <v>0</v>
      </c>
      <c r="C550" s="15" t="n">
        <f aca="false">IF(B549&lt;=0.005,0,B549*Compare!$B$4/12)</f>
        <v>0</v>
      </c>
      <c r="D550" s="15" t="n">
        <f aca="false">IF(B549&lt;=0.005,0,MIN(B549+C550,MAX(Compare!$B$7,B549*Compare!$B$5+IF(Compare!$B$6="Yes",C550,0))))</f>
        <v>0</v>
      </c>
      <c r="E550" s="15" t="n">
        <f aca="false">MAX(0,E549+F550-G550)</f>
        <v>0</v>
      </c>
      <c r="F550" s="15" t="n">
        <f aca="false">IF(E549&lt;=0.005,0,E549*Compare!$B$4/12)</f>
        <v>0</v>
      </c>
      <c r="G550" s="15" t="n">
        <f aca="false">IF(E549&lt;=0.005,0,MIN(E549+F550,Compare!$B$9))</f>
        <v>0</v>
      </c>
      <c r="H550" s="15" t="n">
        <f aca="false">MAX(0,H549+I550-J550)</f>
        <v>0</v>
      </c>
      <c r="I550" s="15" t="n">
        <f aca="false">IF(H549&lt;=0.005,0,H549*Compare!$B$4/12)</f>
        <v>0</v>
      </c>
      <c r="J550" s="15" t="n">
        <f aca="false">IF(H549&lt;=0.005,0,MIN(H549+I550,Compare!$B$9+Compare!$B$8))</f>
        <v>0</v>
      </c>
    </row>
    <row r="551" customFormat="false" ht="15" hidden="false" customHeight="false" outlineLevel="0" collapsed="false">
      <c r="A551" s="3" t="n">
        <v>548</v>
      </c>
      <c r="B551" s="15" t="n">
        <f aca="false">MAX(0,B550+C551-D551)</f>
        <v>0</v>
      </c>
      <c r="C551" s="15" t="n">
        <f aca="false">IF(B550&lt;=0.005,0,B550*Compare!$B$4/12)</f>
        <v>0</v>
      </c>
      <c r="D551" s="15" t="n">
        <f aca="false">IF(B550&lt;=0.005,0,MIN(B550+C551,MAX(Compare!$B$7,B550*Compare!$B$5+IF(Compare!$B$6="Yes",C551,0))))</f>
        <v>0</v>
      </c>
      <c r="E551" s="15" t="n">
        <f aca="false">MAX(0,E550+F551-G551)</f>
        <v>0</v>
      </c>
      <c r="F551" s="15" t="n">
        <f aca="false">IF(E550&lt;=0.005,0,E550*Compare!$B$4/12)</f>
        <v>0</v>
      </c>
      <c r="G551" s="15" t="n">
        <f aca="false">IF(E550&lt;=0.005,0,MIN(E550+F551,Compare!$B$9))</f>
        <v>0</v>
      </c>
      <c r="H551" s="15" t="n">
        <f aca="false">MAX(0,H550+I551-J551)</f>
        <v>0</v>
      </c>
      <c r="I551" s="15" t="n">
        <f aca="false">IF(H550&lt;=0.005,0,H550*Compare!$B$4/12)</f>
        <v>0</v>
      </c>
      <c r="J551" s="15" t="n">
        <f aca="false">IF(H550&lt;=0.005,0,MIN(H550+I551,Compare!$B$9+Compare!$B$8))</f>
        <v>0</v>
      </c>
    </row>
    <row r="552" customFormat="false" ht="15" hidden="false" customHeight="false" outlineLevel="0" collapsed="false">
      <c r="A552" s="3" t="n">
        <v>549</v>
      </c>
      <c r="B552" s="15" t="n">
        <f aca="false">MAX(0,B551+C552-D552)</f>
        <v>0</v>
      </c>
      <c r="C552" s="15" t="n">
        <f aca="false">IF(B551&lt;=0.005,0,B551*Compare!$B$4/12)</f>
        <v>0</v>
      </c>
      <c r="D552" s="15" t="n">
        <f aca="false">IF(B551&lt;=0.005,0,MIN(B551+C552,MAX(Compare!$B$7,B551*Compare!$B$5+IF(Compare!$B$6="Yes",C552,0))))</f>
        <v>0</v>
      </c>
      <c r="E552" s="15" t="n">
        <f aca="false">MAX(0,E551+F552-G552)</f>
        <v>0</v>
      </c>
      <c r="F552" s="15" t="n">
        <f aca="false">IF(E551&lt;=0.005,0,E551*Compare!$B$4/12)</f>
        <v>0</v>
      </c>
      <c r="G552" s="15" t="n">
        <f aca="false">IF(E551&lt;=0.005,0,MIN(E551+F552,Compare!$B$9))</f>
        <v>0</v>
      </c>
      <c r="H552" s="15" t="n">
        <f aca="false">MAX(0,H551+I552-J552)</f>
        <v>0</v>
      </c>
      <c r="I552" s="15" t="n">
        <f aca="false">IF(H551&lt;=0.005,0,H551*Compare!$B$4/12)</f>
        <v>0</v>
      </c>
      <c r="J552" s="15" t="n">
        <f aca="false">IF(H551&lt;=0.005,0,MIN(H551+I552,Compare!$B$9+Compare!$B$8))</f>
        <v>0</v>
      </c>
    </row>
    <row r="553" customFormat="false" ht="15" hidden="false" customHeight="false" outlineLevel="0" collapsed="false">
      <c r="A553" s="3" t="n">
        <v>550</v>
      </c>
      <c r="B553" s="15" t="n">
        <f aca="false">MAX(0,B552+C553-D553)</f>
        <v>0</v>
      </c>
      <c r="C553" s="15" t="n">
        <f aca="false">IF(B552&lt;=0.005,0,B552*Compare!$B$4/12)</f>
        <v>0</v>
      </c>
      <c r="D553" s="15" t="n">
        <f aca="false">IF(B552&lt;=0.005,0,MIN(B552+C553,MAX(Compare!$B$7,B552*Compare!$B$5+IF(Compare!$B$6="Yes",C553,0))))</f>
        <v>0</v>
      </c>
      <c r="E553" s="15" t="n">
        <f aca="false">MAX(0,E552+F553-G553)</f>
        <v>0</v>
      </c>
      <c r="F553" s="15" t="n">
        <f aca="false">IF(E552&lt;=0.005,0,E552*Compare!$B$4/12)</f>
        <v>0</v>
      </c>
      <c r="G553" s="15" t="n">
        <f aca="false">IF(E552&lt;=0.005,0,MIN(E552+F553,Compare!$B$9))</f>
        <v>0</v>
      </c>
      <c r="H553" s="15" t="n">
        <f aca="false">MAX(0,H552+I553-J553)</f>
        <v>0</v>
      </c>
      <c r="I553" s="15" t="n">
        <f aca="false">IF(H552&lt;=0.005,0,H552*Compare!$B$4/12)</f>
        <v>0</v>
      </c>
      <c r="J553" s="15" t="n">
        <f aca="false">IF(H552&lt;=0.005,0,MIN(H552+I553,Compare!$B$9+Compare!$B$8))</f>
        <v>0</v>
      </c>
    </row>
    <row r="554" customFormat="false" ht="15" hidden="false" customHeight="false" outlineLevel="0" collapsed="false">
      <c r="A554" s="3" t="n">
        <v>551</v>
      </c>
      <c r="B554" s="15" t="n">
        <f aca="false">MAX(0,B553+C554-D554)</f>
        <v>0</v>
      </c>
      <c r="C554" s="15" t="n">
        <f aca="false">IF(B553&lt;=0.005,0,B553*Compare!$B$4/12)</f>
        <v>0</v>
      </c>
      <c r="D554" s="15" t="n">
        <f aca="false">IF(B553&lt;=0.005,0,MIN(B553+C554,MAX(Compare!$B$7,B553*Compare!$B$5+IF(Compare!$B$6="Yes",C554,0))))</f>
        <v>0</v>
      </c>
      <c r="E554" s="15" t="n">
        <f aca="false">MAX(0,E553+F554-G554)</f>
        <v>0</v>
      </c>
      <c r="F554" s="15" t="n">
        <f aca="false">IF(E553&lt;=0.005,0,E553*Compare!$B$4/12)</f>
        <v>0</v>
      </c>
      <c r="G554" s="15" t="n">
        <f aca="false">IF(E553&lt;=0.005,0,MIN(E553+F554,Compare!$B$9))</f>
        <v>0</v>
      </c>
      <c r="H554" s="15" t="n">
        <f aca="false">MAX(0,H553+I554-J554)</f>
        <v>0</v>
      </c>
      <c r="I554" s="15" t="n">
        <f aca="false">IF(H553&lt;=0.005,0,H553*Compare!$B$4/12)</f>
        <v>0</v>
      </c>
      <c r="J554" s="15" t="n">
        <f aca="false">IF(H553&lt;=0.005,0,MIN(H553+I554,Compare!$B$9+Compare!$B$8))</f>
        <v>0</v>
      </c>
    </row>
    <row r="555" customFormat="false" ht="15" hidden="false" customHeight="false" outlineLevel="0" collapsed="false">
      <c r="A555" s="3" t="n">
        <v>552</v>
      </c>
      <c r="B555" s="15" t="n">
        <f aca="false">MAX(0,B554+C555-D555)</f>
        <v>0</v>
      </c>
      <c r="C555" s="15" t="n">
        <f aca="false">IF(B554&lt;=0.005,0,B554*Compare!$B$4/12)</f>
        <v>0</v>
      </c>
      <c r="D555" s="15" t="n">
        <f aca="false">IF(B554&lt;=0.005,0,MIN(B554+C555,MAX(Compare!$B$7,B554*Compare!$B$5+IF(Compare!$B$6="Yes",C555,0))))</f>
        <v>0</v>
      </c>
      <c r="E555" s="15" t="n">
        <f aca="false">MAX(0,E554+F555-G555)</f>
        <v>0</v>
      </c>
      <c r="F555" s="15" t="n">
        <f aca="false">IF(E554&lt;=0.005,0,E554*Compare!$B$4/12)</f>
        <v>0</v>
      </c>
      <c r="G555" s="15" t="n">
        <f aca="false">IF(E554&lt;=0.005,0,MIN(E554+F555,Compare!$B$9))</f>
        <v>0</v>
      </c>
      <c r="H555" s="15" t="n">
        <f aca="false">MAX(0,H554+I555-J555)</f>
        <v>0</v>
      </c>
      <c r="I555" s="15" t="n">
        <f aca="false">IF(H554&lt;=0.005,0,H554*Compare!$B$4/12)</f>
        <v>0</v>
      </c>
      <c r="J555" s="15" t="n">
        <f aca="false">IF(H554&lt;=0.005,0,MIN(H554+I555,Compare!$B$9+Compare!$B$8))</f>
        <v>0</v>
      </c>
    </row>
    <row r="556" customFormat="false" ht="15" hidden="false" customHeight="false" outlineLevel="0" collapsed="false">
      <c r="A556" s="3" t="n">
        <v>553</v>
      </c>
      <c r="B556" s="15" t="n">
        <f aca="false">MAX(0,B555+C556-D556)</f>
        <v>0</v>
      </c>
      <c r="C556" s="15" t="n">
        <f aca="false">IF(B555&lt;=0.005,0,B555*Compare!$B$4/12)</f>
        <v>0</v>
      </c>
      <c r="D556" s="15" t="n">
        <f aca="false">IF(B555&lt;=0.005,0,MIN(B555+C556,MAX(Compare!$B$7,B555*Compare!$B$5+IF(Compare!$B$6="Yes",C556,0))))</f>
        <v>0</v>
      </c>
      <c r="E556" s="15" t="n">
        <f aca="false">MAX(0,E555+F556-G556)</f>
        <v>0</v>
      </c>
      <c r="F556" s="15" t="n">
        <f aca="false">IF(E555&lt;=0.005,0,E555*Compare!$B$4/12)</f>
        <v>0</v>
      </c>
      <c r="G556" s="15" t="n">
        <f aca="false">IF(E555&lt;=0.005,0,MIN(E555+F556,Compare!$B$9))</f>
        <v>0</v>
      </c>
      <c r="H556" s="15" t="n">
        <f aca="false">MAX(0,H555+I556-J556)</f>
        <v>0</v>
      </c>
      <c r="I556" s="15" t="n">
        <f aca="false">IF(H555&lt;=0.005,0,H555*Compare!$B$4/12)</f>
        <v>0</v>
      </c>
      <c r="J556" s="15" t="n">
        <f aca="false">IF(H555&lt;=0.005,0,MIN(H555+I556,Compare!$B$9+Compare!$B$8))</f>
        <v>0</v>
      </c>
    </row>
    <row r="557" customFormat="false" ht="15" hidden="false" customHeight="false" outlineLevel="0" collapsed="false">
      <c r="A557" s="3" t="n">
        <v>554</v>
      </c>
      <c r="B557" s="15" t="n">
        <f aca="false">MAX(0,B556+C557-D557)</f>
        <v>0</v>
      </c>
      <c r="C557" s="15" t="n">
        <f aca="false">IF(B556&lt;=0.005,0,B556*Compare!$B$4/12)</f>
        <v>0</v>
      </c>
      <c r="D557" s="15" t="n">
        <f aca="false">IF(B556&lt;=0.005,0,MIN(B556+C557,MAX(Compare!$B$7,B556*Compare!$B$5+IF(Compare!$B$6="Yes",C557,0))))</f>
        <v>0</v>
      </c>
      <c r="E557" s="15" t="n">
        <f aca="false">MAX(0,E556+F557-G557)</f>
        <v>0</v>
      </c>
      <c r="F557" s="15" t="n">
        <f aca="false">IF(E556&lt;=0.005,0,E556*Compare!$B$4/12)</f>
        <v>0</v>
      </c>
      <c r="G557" s="15" t="n">
        <f aca="false">IF(E556&lt;=0.005,0,MIN(E556+F557,Compare!$B$9))</f>
        <v>0</v>
      </c>
      <c r="H557" s="15" t="n">
        <f aca="false">MAX(0,H556+I557-J557)</f>
        <v>0</v>
      </c>
      <c r="I557" s="15" t="n">
        <f aca="false">IF(H556&lt;=0.005,0,H556*Compare!$B$4/12)</f>
        <v>0</v>
      </c>
      <c r="J557" s="15" t="n">
        <f aca="false">IF(H556&lt;=0.005,0,MIN(H556+I557,Compare!$B$9+Compare!$B$8))</f>
        <v>0</v>
      </c>
    </row>
    <row r="558" customFormat="false" ht="15" hidden="false" customHeight="false" outlineLevel="0" collapsed="false">
      <c r="A558" s="3" t="n">
        <v>555</v>
      </c>
      <c r="B558" s="15" t="n">
        <f aca="false">MAX(0,B557+C558-D558)</f>
        <v>0</v>
      </c>
      <c r="C558" s="15" t="n">
        <f aca="false">IF(B557&lt;=0.005,0,B557*Compare!$B$4/12)</f>
        <v>0</v>
      </c>
      <c r="D558" s="15" t="n">
        <f aca="false">IF(B557&lt;=0.005,0,MIN(B557+C558,MAX(Compare!$B$7,B557*Compare!$B$5+IF(Compare!$B$6="Yes",C558,0))))</f>
        <v>0</v>
      </c>
      <c r="E558" s="15" t="n">
        <f aca="false">MAX(0,E557+F558-G558)</f>
        <v>0</v>
      </c>
      <c r="F558" s="15" t="n">
        <f aca="false">IF(E557&lt;=0.005,0,E557*Compare!$B$4/12)</f>
        <v>0</v>
      </c>
      <c r="G558" s="15" t="n">
        <f aca="false">IF(E557&lt;=0.005,0,MIN(E557+F558,Compare!$B$9))</f>
        <v>0</v>
      </c>
      <c r="H558" s="15" t="n">
        <f aca="false">MAX(0,H557+I558-J558)</f>
        <v>0</v>
      </c>
      <c r="I558" s="15" t="n">
        <f aca="false">IF(H557&lt;=0.005,0,H557*Compare!$B$4/12)</f>
        <v>0</v>
      </c>
      <c r="J558" s="15" t="n">
        <f aca="false">IF(H557&lt;=0.005,0,MIN(H557+I558,Compare!$B$9+Compare!$B$8))</f>
        <v>0</v>
      </c>
    </row>
    <row r="559" customFormat="false" ht="15" hidden="false" customHeight="false" outlineLevel="0" collapsed="false">
      <c r="A559" s="3" t="n">
        <v>556</v>
      </c>
      <c r="B559" s="15" t="n">
        <f aca="false">MAX(0,B558+C559-D559)</f>
        <v>0</v>
      </c>
      <c r="C559" s="15" t="n">
        <f aca="false">IF(B558&lt;=0.005,0,B558*Compare!$B$4/12)</f>
        <v>0</v>
      </c>
      <c r="D559" s="15" t="n">
        <f aca="false">IF(B558&lt;=0.005,0,MIN(B558+C559,MAX(Compare!$B$7,B558*Compare!$B$5+IF(Compare!$B$6="Yes",C559,0))))</f>
        <v>0</v>
      </c>
      <c r="E559" s="15" t="n">
        <f aca="false">MAX(0,E558+F559-G559)</f>
        <v>0</v>
      </c>
      <c r="F559" s="15" t="n">
        <f aca="false">IF(E558&lt;=0.005,0,E558*Compare!$B$4/12)</f>
        <v>0</v>
      </c>
      <c r="G559" s="15" t="n">
        <f aca="false">IF(E558&lt;=0.005,0,MIN(E558+F559,Compare!$B$9))</f>
        <v>0</v>
      </c>
      <c r="H559" s="15" t="n">
        <f aca="false">MAX(0,H558+I559-J559)</f>
        <v>0</v>
      </c>
      <c r="I559" s="15" t="n">
        <f aca="false">IF(H558&lt;=0.005,0,H558*Compare!$B$4/12)</f>
        <v>0</v>
      </c>
      <c r="J559" s="15" t="n">
        <f aca="false">IF(H558&lt;=0.005,0,MIN(H558+I559,Compare!$B$9+Compare!$B$8))</f>
        <v>0</v>
      </c>
    </row>
    <row r="560" customFormat="false" ht="15" hidden="false" customHeight="false" outlineLevel="0" collapsed="false">
      <c r="A560" s="3" t="n">
        <v>557</v>
      </c>
      <c r="B560" s="15" t="n">
        <f aca="false">MAX(0,B559+C560-D560)</f>
        <v>0</v>
      </c>
      <c r="C560" s="15" t="n">
        <f aca="false">IF(B559&lt;=0.005,0,B559*Compare!$B$4/12)</f>
        <v>0</v>
      </c>
      <c r="D560" s="15" t="n">
        <f aca="false">IF(B559&lt;=0.005,0,MIN(B559+C560,MAX(Compare!$B$7,B559*Compare!$B$5+IF(Compare!$B$6="Yes",C560,0))))</f>
        <v>0</v>
      </c>
      <c r="E560" s="15" t="n">
        <f aca="false">MAX(0,E559+F560-G560)</f>
        <v>0</v>
      </c>
      <c r="F560" s="15" t="n">
        <f aca="false">IF(E559&lt;=0.005,0,E559*Compare!$B$4/12)</f>
        <v>0</v>
      </c>
      <c r="G560" s="15" t="n">
        <f aca="false">IF(E559&lt;=0.005,0,MIN(E559+F560,Compare!$B$9))</f>
        <v>0</v>
      </c>
      <c r="H560" s="15" t="n">
        <f aca="false">MAX(0,H559+I560-J560)</f>
        <v>0</v>
      </c>
      <c r="I560" s="15" t="n">
        <f aca="false">IF(H559&lt;=0.005,0,H559*Compare!$B$4/12)</f>
        <v>0</v>
      </c>
      <c r="J560" s="15" t="n">
        <f aca="false">IF(H559&lt;=0.005,0,MIN(H559+I560,Compare!$B$9+Compare!$B$8))</f>
        <v>0</v>
      </c>
    </row>
    <row r="561" customFormat="false" ht="15" hidden="false" customHeight="false" outlineLevel="0" collapsed="false">
      <c r="A561" s="3" t="n">
        <v>558</v>
      </c>
      <c r="B561" s="15" t="n">
        <f aca="false">MAX(0,B560+C561-D561)</f>
        <v>0</v>
      </c>
      <c r="C561" s="15" t="n">
        <f aca="false">IF(B560&lt;=0.005,0,B560*Compare!$B$4/12)</f>
        <v>0</v>
      </c>
      <c r="D561" s="15" t="n">
        <f aca="false">IF(B560&lt;=0.005,0,MIN(B560+C561,MAX(Compare!$B$7,B560*Compare!$B$5+IF(Compare!$B$6="Yes",C561,0))))</f>
        <v>0</v>
      </c>
      <c r="E561" s="15" t="n">
        <f aca="false">MAX(0,E560+F561-G561)</f>
        <v>0</v>
      </c>
      <c r="F561" s="15" t="n">
        <f aca="false">IF(E560&lt;=0.005,0,E560*Compare!$B$4/12)</f>
        <v>0</v>
      </c>
      <c r="G561" s="15" t="n">
        <f aca="false">IF(E560&lt;=0.005,0,MIN(E560+F561,Compare!$B$9))</f>
        <v>0</v>
      </c>
      <c r="H561" s="15" t="n">
        <f aca="false">MAX(0,H560+I561-J561)</f>
        <v>0</v>
      </c>
      <c r="I561" s="15" t="n">
        <f aca="false">IF(H560&lt;=0.005,0,H560*Compare!$B$4/12)</f>
        <v>0</v>
      </c>
      <c r="J561" s="15" t="n">
        <f aca="false">IF(H560&lt;=0.005,0,MIN(H560+I561,Compare!$B$9+Compare!$B$8))</f>
        <v>0</v>
      </c>
    </row>
    <row r="562" customFormat="false" ht="15" hidden="false" customHeight="false" outlineLevel="0" collapsed="false">
      <c r="A562" s="3" t="n">
        <v>559</v>
      </c>
      <c r="B562" s="15" t="n">
        <f aca="false">MAX(0,B561+C562-D562)</f>
        <v>0</v>
      </c>
      <c r="C562" s="15" t="n">
        <f aca="false">IF(B561&lt;=0.005,0,B561*Compare!$B$4/12)</f>
        <v>0</v>
      </c>
      <c r="D562" s="15" t="n">
        <f aca="false">IF(B561&lt;=0.005,0,MIN(B561+C562,MAX(Compare!$B$7,B561*Compare!$B$5+IF(Compare!$B$6="Yes",C562,0))))</f>
        <v>0</v>
      </c>
      <c r="E562" s="15" t="n">
        <f aca="false">MAX(0,E561+F562-G562)</f>
        <v>0</v>
      </c>
      <c r="F562" s="15" t="n">
        <f aca="false">IF(E561&lt;=0.005,0,E561*Compare!$B$4/12)</f>
        <v>0</v>
      </c>
      <c r="G562" s="15" t="n">
        <f aca="false">IF(E561&lt;=0.005,0,MIN(E561+F562,Compare!$B$9))</f>
        <v>0</v>
      </c>
      <c r="H562" s="15" t="n">
        <f aca="false">MAX(0,H561+I562-J562)</f>
        <v>0</v>
      </c>
      <c r="I562" s="15" t="n">
        <f aca="false">IF(H561&lt;=0.005,0,H561*Compare!$B$4/12)</f>
        <v>0</v>
      </c>
      <c r="J562" s="15" t="n">
        <f aca="false">IF(H561&lt;=0.005,0,MIN(H561+I562,Compare!$B$9+Compare!$B$8))</f>
        <v>0</v>
      </c>
    </row>
    <row r="563" customFormat="false" ht="15" hidden="false" customHeight="false" outlineLevel="0" collapsed="false">
      <c r="A563" s="3" t="n">
        <v>560</v>
      </c>
      <c r="B563" s="15" t="n">
        <f aca="false">MAX(0,B562+C563-D563)</f>
        <v>0</v>
      </c>
      <c r="C563" s="15" t="n">
        <f aca="false">IF(B562&lt;=0.005,0,B562*Compare!$B$4/12)</f>
        <v>0</v>
      </c>
      <c r="D563" s="15" t="n">
        <f aca="false">IF(B562&lt;=0.005,0,MIN(B562+C563,MAX(Compare!$B$7,B562*Compare!$B$5+IF(Compare!$B$6="Yes",C563,0))))</f>
        <v>0</v>
      </c>
      <c r="E563" s="15" t="n">
        <f aca="false">MAX(0,E562+F563-G563)</f>
        <v>0</v>
      </c>
      <c r="F563" s="15" t="n">
        <f aca="false">IF(E562&lt;=0.005,0,E562*Compare!$B$4/12)</f>
        <v>0</v>
      </c>
      <c r="G563" s="15" t="n">
        <f aca="false">IF(E562&lt;=0.005,0,MIN(E562+F563,Compare!$B$9))</f>
        <v>0</v>
      </c>
      <c r="H563" s="15" t="n">
        <f aca="false">MAX(0,H562+I563-J563)</f>
        <v>0</v>
      </c>
      <c r="I563" s="15" t="n">
        <f aca="false">IF(H562&lt;=0.005,0,H562*Compare!$B$4/12)</f>
        <v>0</v>
      </c>
      <c r="J563" s="15" t="n">
        <f aca="false">IF(H562&lt;=0.005,0,MIN(H562+I563,Compare!$B$9+Compare!$B$8))</f>
        <v>0</v>
      </c>
    </row>
    <row r="564" customFormat="false" ht="15" hidden="false" customHeight="false" outlineLevel="0" collapsed="false">
      <c r="A564" s="3" t="n">
        <v>561</v>
      </c>
      <c r="B564" s="15" t="n">
        <f aca="false">MAX(0,B563+C564-D564)</f>
        <v>0</v>
      </c>
      <c r="C564" s="15" t="n">
        <f aca="false">IF(B563&lt;=0.005,0,B563*Compare!$B$4/12)</f>
        <v>0</v>
      </c>
      <c r="D564" s="15" t="n">
        <f aca="false">IF(B563&lt;=0.005,0,MIN(B563+C564,MAX(Compare!$B$7,B563*Compare!$B$5+IF(Compare!$B$6="Yes",C564,0))))</f>
        <v>0</v>
      </c>
      <c r="E564" s="15" t="n">
        <f aca="false">MAX(0,E563+F564-G564)</f>
        <v>0</v>
      </c>
      <c r="F564" s="15" t="n">
        <f aca="false">IF(E563&lt;=0.005,0,E563*Compare!$B$4/12)</f>
        <v>0</v>
      </c>
      <c r="G564" s="15" t="n">
        <f aca="false">IF(E563&lt;=0.005,0,MIN(E563+F564,Compare!$B$9))</f>
        <v>0</v>
      </c>
      <c r="H564" s="15" t="n">
        <f aca="false">MAX(0,H563+I564-J564)</f>
        <v>0</v>
      </c>
      <c r="I564" s="15" t="n">
        <f aca="false">IF(H563&lt;=0.005,0,H563*Compare!$B$4/12)</f>
        <v>0</v>
      </c>
      <c r="J564" s="15" t="n">
        <f aca="false">IF(H563&lt;=0.005,0,MIN(H563+I564,Compare!$B$9+Compare!$B$8))</f>
        <v>0</v>
      </c>
    </row>
    <row r="565" customFormat="false" ht="15" hidden="false" customHeight="false" outlineLevel="0" collapsed="false">
      <c r="A565" s="3" t="n">
        <v>562</v>
      </c>
      <c r="B565" s="15" t="n">
        <f aca="false">MAX(0,B564+C565-D565)</f>
        <v>0</v>
      </c>
      <c r="C565" s="15" t="n">
        <f aca="false">IF(B564&lt;=0.005,0,B564*Compare!$B$4/12)</f>
        <v>0</v>
      </c>
      <c r="D565" s="15" t="n">
        <f aca="false">IF(B564&lt;=0.005,0,MIN(B564+C565,MAX(Compare!$B$7,B564*Compare!$B$5+IF(Compare!$B$6="Yes",C565,0))))</f>
        <v>0</v>
      </c>
      <c r="E565" s="15" t="n">
        <f aca="false">MAX(0,E564+F565-G565)</f>
        <v>0</v>
      </c>
      <c r="F565" s="15" t="n">
        <f aca="false">IF(E564&lt;=0.005,0,E564*Compare!$B$4/12)</f>
        <v>0</v>
      </c>
      <c r="G565" s="15" t="n">
        <f aca="false">IF(E564&lt;=0.005,0,MIN(E564+F565,Compare!$B$9))</f>
        <v>0</v>
      </c>
      <c r="H565" s="15" t="n">
        <f aca="false">MAX(0,H564+I565-J565)</f>
        <v>0</v>
      </c>
      <c r="I565" s="15" t="n">
        <f aca="false">IF(H564&lt;=0.005,0,H564*Compare!$B$4/12)</f>
        <v>0</v>
      </c>
      <c r="J565" s="15" t="n">
        <f aca="false">IF(H564&lt;=0.005,0,MIN(H564+I565,Compare!$B$9+Compare!$B$8))</f>
        <v>0</v>
      </c>
    </row>
    <row r="566" customFormat="false" ht="15" hidden="false" customHeight="false" outlineLevel="0" collapsed="false">
      <c r="A566" s="3" t="n">
        <v>563</v>
      </c>
      <c r="B566" s="15" t="n">
        <f aca="false">MAX(0,B565+C566-D566)</f>
        <v>0</v>
      </c>
      <c r="C566" s="15" t="n">
        <f aca="false">IF(B565&lt;=0.005,0,B565*Compare!$B$4/12)</f>
        <v>0</v>
      </c>
      <c r="D566" s="15" t="n">
        <f aca="false">IF(B565&lt;=0.005,0,MIN(B565+C566,MAX(Compare!$B$7,B565*Compare!$B$5+IF(Compare!$B$6="Yes",C566,0))))</f>
        <v>0</v>
      </c>
      <c r="E566" s="15" t="n">
        <f aca="false">MAX(0,E565+F566-G566)</f>
        <v>0</v>
      </c>
      <c r="F566" s="15" t="n">
        <f aca="false">IF(E565&lt;=0.005,0,E565*Compare!$B$4/12)</f>
        <v>0</v>
      </c>
      <c r="G566" s="15" t="n">
        <f aca="false">IF(E565&lt;=0.005,0,MIN(E565+F566,Compare!$B$9))</f>
        <v>0</v>
      </c>
      <c r="H566" s="15" t="n">
        <f aca="false">MAX(0,H565+I566-J566)</f>
        <v>0</v>
      </c>
      <c r="I566" s="15" t="n">
        <f aca="false">IF(H565&lt;=0.005,0,H565*Compare!$B$4/12)</f>
        <v>0</v>
      </c>
      <c r="J566" s="15" t="n">
        <f aca="false">IF(H565&lt;=0.005,0,MIN(H565+I566,Compare!$B$9+Compare!$B$8))</f>
        <v>0</v>
      </c>
    </row>
    <row r="567" customFormat="false" ht="15" hidden="false" customHeight="false" outlineLevel="0" collapsed="false">
      <c r="A567" s="3" t="n">
        <v>564</v>
      </c>
      <c r="B567" s="15" t="n">
        <f aca="false">MAX(0,B566+C567-D567)</f>
        <v>0</v>
      </c>
      <c r="C567" s="15" t="n">
        <f aca="false">IF(B566&lt;=0.005,0,B566*Compare!$B$4/12)</f>
        <v>0</v>
      </c>
      <c r="D567" s="15" t="n">
        <f aca="false">IF(B566&lt;=0.005,0,MIN(B566+C567,MAX(Compare!$B$7,B566*Compare!$B$5+IF(Compare!$B$6="Yes",C567,0))))</f>
        <v>0</v>
      </c>
      <c r="E567" s="15" t="n">
        <f aca="false">MAX(0,E566+F567-G567)</f>
        <v>0</v>
      </c>
      <c r="F567" s="15" t="n">
        <f aca="false">IF(E566&lt;=0.005,0,E566*Compare!$B$4/12)</f>
        <v>0</v>
      </c>
      <c r="G567" s="15" t="n">
        <f aca="false">IF(E566&lt;=0.005,0,MIN(E566+F567,Compare!$B$9))</f>
        <v>0</v>
      </c>
      <c r="H567" s="15" t="n">
        <f aca="false">MAX(0,H566+I567-J567)</f>
        <v>0</v>
      </c>
      <c r="I567" s="15" t="n">
        <f aca="false">IF(H566&lt;=0.005,0,H566*Compare!$B$4/12)</f>
        <v>0</v>
      </c>
      <c r="J567" s="15" t="n">
        <f aca="false">IF(H566&lt;=0.005,0,MIN(H566+I567,Compare!$B$9+Compare!$B$8))</f>
        <v>0</v>
      </c>
    </row>
    <row r="568" customFormat="false" ht="15" hidden="false" customHeight="false" outlineLevel="0" collapsed="false">
      <c r="A568" s="3" t="n">
        <v>565</v>
      </c>
      <c r="B568" s="15" t="n">
        <f aca="false">MAX(0,B567+C568-D568)</f>
        <v>0</v>
      </c>
      <c r="C568" s="15" t="n">
        <f aca="false">IF(B567&lt;=0.005,0,B567*Compare!$B$4/12)</f>
        <v>0</v>
      </c>
      <c r="D568" s="15" t="n">
        <f aca="false">IF(B567&lt;=0.005,0,MIN(B567+C568,MAX(Compare!$B$7,B567*Compare!$B$5+IF(Compare!$B$6="Yes",C568,0))))</f>
        <v>0</v>
      </c>
      <c r="E568" s="15" t="n">
        <f aca="false">MAX(0,E567+F568-G568)</f>
        <v>0</v>
      </c>
      <c r="F568" s="15" t="n">
        <f aca="false">IF(E567&lt;=0.005,0,E567*Compare!$B$4/12)</f>
        <v>0</v>
      </c>
      <c r="G568" s="15" t="n">
        <f aca="false">IF(E567&lt;=0.005,0,MIN(E567+F568,Compare!$B$9))</f>
        <v>0</v>
      </c>
      <c r="H568" s="15" t="n">
        <f aca="false">MAX(0,H567+I568-J568)</f>
        <v>0</v>
      </c>
      <c r="I568" s="15" t="n">
        <f aca="false">IF(H567&lt;=0.005,0,H567*Compare!$B$4/12)</f>
        <v>0</v>
      </c>
      <c r="J568" s="15" t="n">
        <f aca="false">IF(H567&lt;=0.005,0,MIN(H567+I568,Compare!$B$9+Compare!$B$8))</f>
        <v>0</v>
      </c>
    </row>
    <row r="569" customFormat="false" ht="15" hidden="false" customHeight="false" outlineLevel="0" collapsed="false">
      <c r="A569" s="3" t="n">
        <v>566</v>
      </c>
      <c r="B569" s="15" t="n">
        <f aca="false">MAX(0,B568+C569-D569)</f>
        <v>0</v>
      </c>
      <c r="C569" s="15" t="n">
        <f aca="false">IF(B568&lt;=0.005,0,B568*Compare!$B$4/12)</f>
        <v>0</v>
      </c>
      <c r="D569" s="15" t="n">
        <f aca="false">IF(B568&lt;=0.005,0,MIN(B568+C569,MAX(Compare!$B$7,B568*Compare!$B$5+IF(Compare!$B$6="Yes",C569,0))))</f>
        <v>0</v>
      </c>
      <c r="E569" s="15" t="n">
        <f aca="false">MAX(0,E568+F569-G569)</f>
        <v>0</v>
      </c>
      <c r="F569" s="15" t="n">
        <f aca="false">IF(E568&lt;=0.005,0,E568*Compare!$B$4/12)</f>
        <v>0</v>
      </c>
      <c r="G569" s="15" t="n">
        <f aca="false">IF(E568&lt;=0.005,0,MIN(E568+F569,Compare!$B$9))</f>
        <v>0</v>
      </c>
      <c r="H569" s="15" t="n">
        <f aca="false">MAX(0,H568+I569-J569)</f>
        <v>0</v>
      </c>
      <c r="I569" s="15" t="n">
        <f aca="false">IF(H568&lt;=0.005,0,H568*Compare!$B$4/12)</f>
        <v>0</v>
      </c>
      <c r="J569" s="15" t="n">
        <f aca="false">IF(H568&lt;=0.005,0,MIN(H568+I569,Compare!$B$9+Compare!$B$8))</f>
        <v>0</v>
      </c>
    </row>
    <row r="570" customFormat="false" ht="15" hidden="false" customHeight="false" outlineLevel="0" collapsed="false">
      <c r="A570" s="3" t="n">
        <v>567</v>
      </c>
      <c r="B570" s="15" t="n">
        <f aca="false">MAX(0,B569+C570-D570)</f>
        <v>0</v>
      </c>
      <c r="C570" s="15" t="n">
        <f aca="false">IF(B569&lt;=0.005,0,B569*Compare!$B$4/12)</f>
        <v>0</v>
      </c>
      <c r="D570" s="15" t="n">
        <f aca="false">IF(B569&lt;=0.005,0,MIN(B569+C570,MAX(Compare!$B$7,B569*Compare!$B$5+IF(Compare!$B$6="Yes",C570,0))))</f>
        <v>0</v>
      </c>
      <c r="E570" s="15" t="n">
        <f aca="false">MAX(0,E569+F570-G570)</f>
        <v>0</v>
      </c>
      <c r="F570" s="15" t="n">
        <f aca="false">IF(E569&lt;=0.005,0,E569*Compare!$B$4/12)</f>
        <v>0</v>
      </c>
      <c r="G570" s="15" t="n">
        <f aca="false">IF(E569&lt;=0.005,0,MIN(E569+F570,Compare!$B$9))</f>
        <v>0</v>
      </c>
      <c r="H570" s="15" t="n">
        <f aca="false">MAX(0,H569+I570-J570)</f>
        <v>0</v>
      </c>
      <c r="I570" s="15" t="n">
        <f aca="false">IF(H569&lt;=0.005,0,H569*Compare!$B$4/12)</f>
        <v>0</v>
      </c>
      <c r="J570" s="15" t="n">
        <f aca="false">IF(H569&lt;=0.005,0,MIN(H569+I570,Compare!$B$9+Compare!$B$8))</f>
        <v>0</v>
      </c>
    </row>
    <row r="571" customFormat="false" ht="15" hidden="false" customHeight="false" outlineLevel="0" collapsed="false">
      <c r="A571" s="3" t="n">
        <v>568</v>
      </c>
      <c r="B571" s="15" t="n">
        <f aca="false">MAX(0,B570+C571-D571)</f>
        <v>0</v>
      </c>
      <c r="C571" s="15" t="n">
        <f aca="false">IF(B570&lt;=0.005,0,B570*Compare!$B$4/12)</f>
        <v>0</v>
      </c>
      <c r="D571" s="15" t="n">
        <f aca="false">IF(B570&lt;=0.005,0,MIN(B570+C571,MAX(Compare!$B$7,B570*Compare!$B$5+IF(Compare!$B$6="Yes",C571,0))))</f>
        <v>0</v>
      </c>
      <c r="E571" s="15" t="n">
        <f aca="false">MAX(0,E570+F571-G571)</f>
        <v>0</v>
      </c>
      <c r="F571" s="15" t="n">
        <f aca="false">IF(E570&lt;=0.005,0,E570*Compare!$B$4/12)</f>
        <v>0</v>
      </c>
      <c r="G571" s="15" t="n">
        <f aca="false">IF(E570&lt;=0.005,0,MIN(E570+F571,Compare!$B$9))</f>
        <v>0</v>
      </c>
      <c r="H571" s="15" t="n">
        <f aca="false">MAX(0,H570+I571-J571)</f>
        <v>0</v>
      </c>
      <c r="I571" s="15" t="n">
        <f aca="false">IF(H570&lt;=0.005,0,H570*Compare!$B$4/12)</f>
        <v>0</v>
      </c>
      <c r="J571" s="15" t="n">
        <f aca="false">IF(H570&lt;=0.005,0,MIN(H570+I571,Compare!$B$9+Compare!$B$8))</f>
        <v>0</v>
      </c>
    </row>
    <row r="572" customFormat="false" ht="15" hidden="false" customHeight="false" outlineLevel="0" collapsed="false">
      <c r="A572" s="3" t="n">
        <v>569</v>
      </c>
      <c r="B572" s="15" t="n">
        <f aca="false">MAX(0,B571+C572-D572)</f>
        <v>0</v>
      </c>
      <c r="C572" s="15" t="n">
        <f aca="false">IF(B571&lt;=0.005,0,B571*Compare!$B$4/12)</f>
        <v>0</v>
      </c>
      <c r="D572" s="15" t="n">
        <f aca="false">IF(B571&lt;=0.005,0,MIN(B571+C572,MAX(Compare!$B$7,B571*Compare!$B$5+IF(Compare!$B$6="Yes",C572,0))))</f>
        <v>0</v>
      </c>
      <c r="E572" s="15" t="n">
        <f aca="false">MAX(0,E571+F572-G572)</f>
        <v>0</v>
      </c>
      <c r="F572" s="15" t="n">
        <f aca="false">IF(E571&lt;=0.005,0,E571*Compare!$B$4/12)</f>
        <v>0</v>
      </c>
      <c r="G572" s="15" t="n">
        <f aca="false">IF(E571&lt;=0.005,0,MIN(E571+F572,Compare!$B$9))</f>
        <v>0</v>
      </c>
      <c r="H572" s="15" t="n">
        <f aca="false">MAX(0,H571+I572-J572)</f>
        <v>0</v>
      </c>
      <c r="I572" s="15" t="n">
        <f aca="false">IF(H571&lt;=0.005,0,H571*Compare!$B$4/12)</f>
        <v>0</v>
      </c>
      <c r="J572" s="15" t="n">
        <f aca="false">IF(H571&lt;=0.005,0,MIN(H571+I572,Compare!$B$9+Compare!$B$8))</f>
        <v>0</v>
      </c>
    </row>
    <row r="573" customFormat="false" ht="15" hidden="false" customHeight="false" outlineLevel="0" collapsed="false">
      <c r="A573" s="3" t="n">
        <v>570</v>
      </c>
      <c r="B573" s="15" t="n">
        <f aca="false">MAX(0,B572+C573-D573)</f>
        <v>0</v>
      </c>
      <c r="C573" s="15" t="n">
        <f aca="false">IF(B572&lt;=0.005,0,B572*Compare!$B$4/12)</f>
        <v>0</v>
      </c>
      <c r="D573" s="15" t="n">
        <f aca="false">IF(B572&lt;=0.005,0,MIN(B572+C573,MAX(Compare!$B$7,B572*Compare!$B$5+IF(Compare!$B$6="Yes",C573,0))))</f>
        <v>0</v>
      </c>
      <c r="E573" s="15" t="n">
        <f aca="false">MAX(0,E572+F573-G573)</f>
        <v>0</v>
      </c>
      <c r="F573" s="15" t="n">
        <f aca="false">IF(E572&lt;=0.005,0,E572*Compare!$B$4/12)</f>
        <v>0</v>
      </c>
      <c r="G573" s="15" t="n">
        <f aca="false">IF(E572&lt;=0.005,0,MIN(E572+F573,Compare!$B$9))</f>
        <v>0</v>
      </c>
      <c r="H573" s="15" t="n">
        <f aca="false">MAX(0,H572+I573-J573)</f>
        <v>0</v>
      </c>
      <c r="I573" s="15" t="n">
        <f aca="false">IF(H572&lt;=0.005,0,H572*Compare!$B$4/12)</f>
        <v>0</v>
      </c>
      <c r="J573" s="15" t="n">
        <f aca="false">IF(H572&lt;=0.005,0,MIN(H572+I573,Compare!$B$9+Compare!$B$8))</f>
        <v>0</v>
      </c>
    </row>
    <row r="574" customFormat="false" ht="15" hidden="false" customHeight="false" outlineLevel="0" collapsed="false">
      <c r="A574" s="3" t="n">
        <v>571</v>
      </c>
      <c r="B574" s="15" t="n">
        <f aca="false">MAX(0,B573+C574-D574)</f>
        <v>0</v>
      </c>
      <c r="C574" s="15" t="n">
        <f aca="false">IF(B573&lt;=0.005,0,B573*Compare!$B$4/12)</f>
        <v>0</v>
      </c>
      <c r="D574" s="15" t="n">
        <f aca="false">IF(B573&lt;=0.005,0,MIN(B573+C574,MAX(Compare!$B$7,B573*Compare!$B$5+IF(Compare!$B$6="Yes",C574,0))))</f>
        <v>0</v>
      </c>
      <c r="E574" s="15" t="n">
        <f aca="false">MAX(0,E573+F574-G574)</f>
        <v>0</v>
      </c>
      <c r="F574" s="15" t="n">
        <f aca="false">IF(E573&lt;=0.005,0,E573*Compare!$B$4/12)</f>
        <v>0</v>
      </c>
      <c r="G574" s="15" t="n">
        <f aca="false">IF(E573&lt;=0.005,0,MIN(E573+F574,Compare!$B$9))</f>
        <v>0</v>
      </c>
      <c r="H574" s="15" t="n">
        <f aca="false">MAX(0,H573+I574-J574)</f>
        <v>0</v>
      </c>
      <c r="I574" s="15" t="n">
        <f aca="false">IF(H573&lt;=0.005,0,H573*Compare!$B$4/12)</f>
        <v>0</v>
      </c>
      <c r="J574" s="15" t="n">
        <f aca="false">IF(H573&lt;=0.005,0,MIN(H573+I574,Compare!$B$9+Compare!$B$8))</f>
        <v>0</v>
      </c>
    </row>
    <row r="575" customFormat="false" ht="15" hidden="false" customHeight="false" outlineLevel="0" collapsed="false">
      <c r="A575" s="3" t="n">
        <v>572</v>
      </c>
      <c r="B575" s="15" t="n">
        <f aca="false">MAX(0,B574+C575-D575)</f>
        <v>0</v>
      </c>
      <c r="C575" s="15" t="n">
        <f aca="false">IF(B574&lt;=0.005,0,B574*Compare!$B$4/12)</f>
        <v>0</v>
      </c>
      <c r="D575" s="15" t="n">
        <f aca="false">IF(B574&lt;=0.005,0,MIN(B574+C575,MAX(Compare!$B$7,B574*Compare!$B$5+IF(Compare!$B$6="Yes",C575,0))))</f>
        <v>0</v>
      </c>
      <c r="E575" s="15" t="n">
        <f aca="false">MAX(0,E574+F575-G575)</f>
        <v>0</v>
      </c>
      <c r="F575" s="15" t="n">
        <f aca="false">IF(E574&lt;=0.005,0,E574*Compare!$B$4/12)</f>
        <v>0</v>
      </c>
      <c r="G575" s="15" t="n">
        <f aca="false">IF(E574&lt;=0.005,0,MIN(E574+F575,Compare!$B$9))</f>
        <v>0</v>
      </c>
      <c r="H575" s="15" t="n">
        <f aca="false">MAX(0,H574+I575-J575)</f>
        <v>0</v>
      </c>
      <c r="I575" s="15" t="n">
        <f aca="false">IF(H574&lt;=0.005,0,H574*Compare!$B$4/12)</f>
        <v>0</v>
      </c>
      <c r="J575" s="15" t="n">
        <f aca="false">IF(H574&lt;=0.005,0,MIN(H574+I575,Compare!$B$9+Compare!$B$8))</f>
        <v>0</v>
      </c>
    </row>
    <row r="576" customFormat="false" ht="15" hidden="false" customHeight="false" outlineLevel="0" collapsed="false">
      <c r="A576" s="3" t="n">
        <v>573</v>
      </c>
      <c r="B576" s="15" t="n">
        <f aca="false">MAX(0,B575+C576-D576)</f>
        <v>0</v>
      </c>
      <c r="C576" s="15" t="n">
        <f aca="false">IF(B575&lt;=0.005,0,B575*Compare!$B$4/12)</f>
        <v>0</v>
      </c>
      <c r="D576" s="15" t="n">
        <f aca="false">IF(B575&lt;=0.005,0,MIN(B575+C576,MAX(Compare!$B$7,B575*Compare!$B$5+IF(Compare!$B$6="Yes",C576,0))))</f>
        <v>0</v>
      </c>
      <c r="E576" s="15" t="n">
        <f aca="false">MAX(0,E575+F576-G576)</f>
        <v>0</v>
      </c>
      <c r="F576" s="15" t="n">
        <f aca="false">IF(E575&lt;=0.005,0,E575*Compare!$B$4/12)</f>
        <v>0</v>
      </c>
      <c r="G576" s="15" t="n">
        <f aca="false">IF(E575&lt;=0.005,0,MIN(E575+F576,Compare!$B$9))</f>
        <v>0</v>
      </c>
      <c r="H576" s="15" t="n">
        <f aca="false">MAX(0,H575+I576-J576)</f>
        <v>0</v>
      </c>
      <c r="I576" s="15" t="n">
        <f aca="false">IF(H575&lt;=0.005,0,H575*Compare!$B$4/12)</f>
        <v>0</v>
      </c>
      <c r="J576" s="15" t="n">
        <f aca="false">IF(H575&lt;=0.005,0,MIN(H575+I576,Compare!$B$9+Compare!$B$8))</f>
        <v>0</v>
      </c>
    </row>
    <row r="577" customFormat="false" ht="15" hidden="false" customHeight="false" outlineLevel="0" collapsed="false">
      <c r="A577" s="3" t="n">
        <v>574</v>
      </c>
      <c r="B577" s="15" t="n">
        <f aca="false">MAX(0,B576+C577-D577)</f>
        <v>0</v>
      </c>
      <c r="C577" s="15" t="n">
        <f aca="false">IF(B576&lt;=0.005,0,B576*Compare!$B$4/12)</f>
        <v>0</v>
      </c>
      <c r="D577" s="15" t="n">
        <f aca="false">IF(B576&lt;=0.005,0,MIN(B576+C577,MAX(Compare!$B$7,B576*Compare!$B$5+IF(Compare!$B$6="Yes",C577,0))))</f>
        <v>0</v>
      </c>
      <c r="E577" s="15" t="n">
        <f aca="false">MAX(0,E576+F577-G577)</f>
        <v>0</v>
      </c>
      <c r="F577" s="15" t="n">
        <f aca="false">IF(E576&lt;=0.005,0,E576*Compare!$B$4/12)</f>
        <v>0</v>
      </c>
      <c r="G577" s="15" t="n">
        <f aca="false">IF(E576&lt;=0.005,0,MIN(E576+F577,Compare!$B$9))</f>
        <v>0</v>
      </c>
      <c r="H577" s="15" t="n">
        <f aca="false">MAX(0,H576+I577-J577)</f>
        <v>0</v>
      </c>
      <c r="I577" s="15" t="n">
        <f aca="false">IF(H576&lt;=0.005,0,H576*Compare!$B$4/12)</f>
        <v>0</v>
      </c>
      <c r="J577" s="15" t="n">
        <f aca="false">IF(H576&lt;=0.005,0,MIN(H576+I577,Compare!$B$9+Compare!$B$8))</f>
        <v>0</v>
      </c>
    </row>
    <row r="578" customFormat="false" ht="15" hidden="false" customHeight="false" outlineLevel="0" collapsed="false">
      <c r="A578" s="3" t="n">
        <v>575</v>
      </c>
      <c r="B578" s="15" t="n">
        <f aca="false">MAX(0,B577+C578-D578)</f>
        <v>0</v>
      </c>
      <c r="C578" s="15" t="n">
        <f aca="false">IF(B577&lt;=0.005,0,B577*Compare!$B$4/12)</f>
        <v>0</v>
      </c>
      <c r="D578" s="15" t="n">
        <f aca="false">IF(B577&lt;=0.005,0,MIN(B577+C578,MAX(Compare!$B$7,B577*Compare!$B$5+IF(Compare!$B$6="Yes",C578,0))))</f>
        <v>0</v>
      </c>
      <c r="E578" s="15" t="n">
        <f aca="false">MAX(0,E577+F578-G578)</f>
        <v>0</v>
      </c>
      <c r="F578" s="15" t="n">
        <f aca="false">IF(E577&lt;=0.005,0,E577*Compare!$B$4/12)</f>
        <v>0</v>
      </c>
      <c r="G578" s="15" t="n">
        <f aca="false">IF(E577&lt;=0.005,0,MIN(E577+F578,Compare!$B$9))</f>
        <v>0</v>
      </c>
      <c r="H578" s="15" t="n">
        <f aca="false">MAX(0,H577+I578-J578)</f>
        <v>0</v>
      </c>
      <c r="I578" s="15" t="n">
        <f aca="false">IF(H577&lt;=0.005,0,H577*Compare!$B$4/12)</f>
        <v>0</v>
      </c>
      <c r="J578" s="15" t="n">
        <f aca="false">IF(H577&lt;=0.005,0,MIN(H577+I578,Compare!$B$9+Compare!$B$8))</f>
        <v>0</v>
      </c>
    </row>
    <row r="579" customFormat="false" ht="15" hidden="false" customHeight="false" outlineLevel="0" collapsed="false">
      <c r="A579" s="3" t="n">
        <v>576</v>
      </c>
      <c r="B579" s="15" t="n">
        <f aca="false">MAX(0,B578+C579-D579)</f>
        <v>0</v>
      </c>
      <c r="C579" s="15" t="n">
        <f aca="false">IF(B578&lt;=0.005,0,B578*Compare!$B$4/12)</f>
        <v>0</v>
      </c>
      <c r="D579" s="15" t="n">
        <f aca="false">IF(B578&lt;=0.005,0,MIN(B578+C579,MAX(Compare!$B$7,B578*Compare!$B$5+IF(Compare!$B$6="Yes",C579,0))))</f>
        <v>0</v>
      </c>
      <c r="E579" s="15" t="n">
        <f aca="false">MAX(0,E578+F579-G579)</f>
        <v>0</v>
      </c>
      <c r="F579" s="15" t="n">
        <f aca="false">IF(E578&lt;=0.005,0,E578*Compare!$B$4/12)</f>
        <v>0</v>
      </c>
      <c r="G579" s="15" t="n">
        <f aca="false">IF(E578&lt;=0.005,0,MIN(E578+F579,Compare!$B$9))</f>
        <v>0</v>
      </c>
      <c r="H579" s="15" t="n">
        <f aca="false">MAX(0,H578+I579-J579)</f>
        <v>0</v>
      </c>
      <c r="I579" s="15" t="n">
        <f aca="false">IF(H578&lt;=0.005,0,H578*Compare!$B$4/12)</f>
        <v>0</v>
      </c>
      <c r="J579" s="15" t="n">
        <f aca="false">IF(H578&lt;=0.005,0,MIN(H578+I579,Compare!$B$9+Compare!$B$8))</f>
        <v>0</v>
      </c>
    </row>
    <row r="580" customFormat="false" ht="15" hidden="false" customHeight="false" outlineLevel="0" collapsed="false">
      <c r="A580" s="3" t="n">
        <v>577</v>
      </c>
      <c r="B580" s="15" t="n">
        <f aca="false">MAX(0,B579+C580-D580)</f>
        <v>0</v>
      </c>
      <c r="C580" s="15" t="n">
        <f aca="false">IF(B579&lt;=0.005,0,B579*Compare!$B$4/12)</f>
        <v>0</v>
      </c>
      <c r="D580" s="15" t="n">
        <f aca="false">IF(B579&lt;=0.005,0,MIN(B579+C580,MAX(Compare!$B$7,B579*Compare!$B$5+IF(Compare!$B$6="Yes",C580,0))))</f>
        <v>0</v>
      </c>
      <c r="E580" s="15" t="n">
        <f aca="false">MAX(0,E579+F580-G580)</f>
        <v>0</v>
      </c>
      <c r="F580" s="15" t="n">
        <f aca="false">IF(E579&lt;=0.005,0,E579*Compare!$B$4/12)</f>
        <v>0</v>
      </c>
      <c r="G580" s="15" t="n">
        <f aca="false">IF(E579&lt;=0.005,0,MIN(E579+F580,Compare!$B$9))</f>
        <v>0</v>
      </c>
      <c r="H580" s="15" t="n">
        <f aca="false">MAX(0,H579+I580-J580)</f>
        <v>0</v>
      </c>
      <c r="I580" s="15" t="n">
        <f aca="false">IF(H579&lt;=0.005,0,H579*Compare!$B$4/12)</f>
        <v>0</v>
      </c>
      <c r="J580" s="15" t="n">
        <f aca="false">IF(H579&lt;=0.005,0,MIN(H579+I580,Compare!$B$9+Compare!$B$8))</f>
        <v>0</v>
      </c>
    </row>
    <row r="581" customFormat="false" ht="15" hidden="false" customHeight="false" outlineLevel="0" collapsed="false">
      <c r="A581" s="3" t="n">
        <v>578</v>
      </c>
      <c r="B581" s="15" t="n">
        <f aca="false">MAX(0,B580+C581-D581)</f>
        <v>0</v>
      </c>
      <c r="C581" s="15" t="n">
        <f aca="false">IF(B580&lt;=0.005,0,B580*Compare!$B$4/12)</f>
        <v>0</v>
      </c>
      <c r="D581" s="15" t="n">
        <f aca="false">IF(B580&lt;=0.005,0,MIN(B580+C581,MAX(Compare!$B$7,B580*Compare!$B$5+IF(Compare!$B$6="Yes",C581,0))))</f>
        <v>0</v>
      </c>
      <c r="E581" s="15" t="n">
        <f aca="false">MAX(0,E580+F581-G581)</f>
        <v>0</v>
      </c>
      <c r="F581" s="15" t="n">
        <f aca="false">IF(E580&lt;=0.005,0,E580*Compare!$B$4/12)</f>
        <v>0</v>
      </c>
      <c r="G581" s="15" t="n">
        <f aca="false">IF(E580&lt;=0.005,0,MIN(E580+F581,Compare!$B$9))</f>
        <v>0</v>
      </c>
      <c r="H581" s="15" t="n">
        <f aca="false">MAX(0,H580+I581-J581)</f>
        <v>0</v>
      </c>
      <c r="I581" s="15" t="n">
        <f aca="false">IF(H580&lt;=0.005,0,H580*Compare!$B$4/12)</f>
        <v>0</v>
      </c>
      <c r="J581" s="15" t="n">
        <f aca="false">IF(H580&lt;=0.005,0,MIN(H580+I581,Compare!$B$9+Compare!$B$8))</f>
        <v>0</v>
      </c>
    </row>
    <row r="582" customFormat="false" ht="15" hidden="false" customHeight="false" outlineLevel="0" collapsed="false">
      <c r="A582" s="3" t="n">
        <v>579</v>
      </c>
      <c r="B582" s="15" t="n">
        <f aca="false">MAX(0,B581+C582-D582)</f>
        <v>0</v>
      </c>
      <c r="C582" s="15" t="n">
        <f aca="false">IF(B581&lt;=0.005,0,B581*Compare!$B$4/12)</f>
        <v>0</v>
      </c>
      <c r="D582" s="15" t="n">
        <f aca="false">IF(B581&lt;=0.005,0,MIN(B581+C582,MAX(Compare!$B$7,B581*Compare!$B$5+IF(Compare!$B$6="Yes",C582,0))))</f>
        <v>0</v>
      </c>
      <c r="E582" s="15" t="n">
        <f aca="false">MAX(0,E581+F582-G582)</f>
        <v>0</v>
      </c>
      <c r="F582" s="15" t="n">
        <f aca="false">IF(E581&lt;=0.005,0,E581*Compare!$B$4/12)</f>
        <v>0</v>
      </c>
      <c r="G582" s="15" t="n">
        <f aca="false">IF(E581&lt;=0.005,0,MIN(E581+F582,Compare!$B$9))</f>
        <v>0</v>
      </c>
      <c r="H582" s="15" t="n">
        <f aca="false">MAX(0,H581+I582-J582)</f>
        <v>0</v>
      </c>
      <c r="I582" s="15" t="n">
        <f aca="false">IF(H581&lt;=0.005,0,H581*Compare!$B$4/12)</f>
        <v>0</v>
      </c>
      <c r="J582" s="15" t="n">
        <f aca="false">IF(H581&lt;=0.005,0,MIN(H581+I582,Compare!$B$9+Compare!$B$8))</f>
        <v>0</v>
      </c>
    </row>
    <row r="583" customFormat="false" ht="15" hidden="false" customHeight="false" outlineLevel="0" collapsed="false">
      <c r="A583" s="3" t="n">
        <v>580</v>
      </c>
      <c r="B583" s="15" t="n">
        <f aca="false">MAX(0,B582+C583-D583)</f>
        <v>0</v>
      </c>
      <c r="C583" s="15" t="n">
        <f aca="false">IF(B582&lt;=0.005,0,B582*Compare!$B$4/12)</f>
        <v>0</v>
      </c>
      <c r="D583" s="15" t="n">
        <f aca="false">IF(B582&lt;=0.005,0,MIN(B582+C583,MAX(Compare!$B$7,B582*Compare!$B$5+IF(Compare!$B$6="Yes",C583,0))))</f>
        <v>0</v>
      </c>
      <c r="E583" s="15" t="n">
        <f aca="false">MAX(0,E582+F583-G583)</f>
        <v>0</v>
      </c>
      <c r="F583" s="15" t="n">
        <f aca="false">IF(E582&lt;=0.005,0,E582*Compare!$B$4/12)</f>
        <v>0</v>
      </c>
      <c r="G583" s="15" t="n">
        <f aca="false">IF(E582&lt;=0.005,0,MIN(E582+F583,Compare!$B$9))</f>
        <v>0</v>
      </c>
      <c r="H583" s="15" t="n">
        <f aca="false">MAX(0,H582+I583-J583)</f>
        <v>0</v>
      </c>
      <c r="I583" s="15" t="n">
        <f aca="false">IF(H582&lt;=0.005,0,H582*Compare!$B$4/12)</f>
        <v>0</v>
      </c>
      <c r="J583" s="15" t="n">
        <f aca="false">IF(H582&lt;=0.005,0,MIN(H582+I583,Compare!$B$9+Compare!$B$8))</f>
        <v>0</v>
      </c>
    </row>
    <row r="584" customFormat="false" ht="15" hidden="false" customHeight="false" outlineLevel="0" collapsed="false">
      <c r="A584" s="3" t="n">
        <v>581</v>
      </c>
      <c r="B584" s="15" t="n">
        <f aca="false">MAX(0,B583+C584-D584)</f>
        <v>0</v>
      </c>
      <c r="C584" s="15" t="n">
        <f aca="false">IF(B583&lt;=0.005,0,B583*Compare!$B$4/12)</f>
        <v>0</v>
      </c>
      <c r="D584" s="15" t="n">
        <f aca="false">IF(B583&lt;=0.005,0,MIN(B583+C584,MAX(Compare!$B$7,B583*Compare!$B$5+IF(Compare!$B$6="Yes",C584,0))))</f>
        <v>0</v>
      </c>
      <c r="E584" s="15" t="n">
        <f aca="false">MAX(0,E583+F584-G584)</f>
        <v>0</v>
      </c>
      <c r="F584" s="15" t="n">
        <f aca="false">IF(E583&lt;=0.005,0,E583*Compare!$B$4/12)</f>
        <v>0</v>
      </c>
      <c r="G584" s="15" t="n">
        <f aca="false">IF(E583&lt;=0.005,0,MIN(E583+F584,Compare!$B$9))</f>
        <v>0</v>
      </c>
      <c r="H584" s="15" t="n">
        <f aca="false">MAX(0,H583+I584-J584)</f>
        <v>0</v>
      </c>
      <c r="I584" s="15" t="n">
        <f aca="false">IF(H583&lt;=0.005,0,H583*Compare!$B$4/12)</f>
        <v>0</v>
      </c>
      <c r="J584" s="15" t="n">
        <f aca="false">IF(H583&lt;=0.005,0,MIN(H583+I584,Compare!$B$9+Compare!$B$8))</f>
        <v>0</v>
      </c>
    </row>
    <row r="585" customFormat="false" ht="15" hidden="false" customHeight="false" outlineLevel="0" collapsed="false">
      <c r="A585" s="3" t="n">
        <v>582</v>
      </c>
      <c r="B585" s="15" t="n">
        <f aca="false">MAX(0,B584+C585-D585)</f>
        <v>0</v>
      </c>
      <c r="C585" s="15" t="n">
        <f aca="false">IF(B584&lt;=0.005,0,B584*Compare!$B$4/12)</f>
        <v>0</v>
      </c>
      <c r="D585" s="15" t="n">
        <f aca="false">IF(B584&lt;=0.005,0,MIN(B584+C585,MAX(Compare!$B$7,B584*Compare!$B$5+IF(Compare!$B$6="Yes",C585,0))))</f>
        <v>0</v>
      </c>
      <c r="E585" s="15" t="n">
        <f aca="false">MAX(0,E584+F585-G585)</f>
        <v>0</v>
      </c>
      <c r="F585" s="15" t="n">
        <f aca="false">IF(E584&lt;=0.005,0,E584*Compare!$B$4/12)</f>
        <v>0</v>
      </c>
      <c r="G585" s="15" t="n">
        <f aca="false">IF(E584&lt;=0.005,0,MIN(E584+F585,Compare!$B$9))</f>
        <v>0</v>
      </c>
      <c r="H585" s="15" t="n">
        <f aca="false">MAX(0,H584+I585-J585)</f>
        <v>0</v>
      </c>
      <c r="I585" s="15" t="n">
        <f aca="false">IF(H584&lt;=0.005,0,H584*Compare!$B$4/12)</f>
        <v>0</v>
      </c>
      <c r="J585" s="15" t="n">
        <f aca="false">IF(H584&lt;=0.005,0,MIN(H584+I585,Compare!$B$9+Compare!$B$8))</f>
        <v>0</v>
      </c>
    </row>
    <row r="586" customFormat="false" ht="15" hidden="false" customHeight="false" outlineLevel="0" collapsed="false">
      <c r="A586" s="3" t="n">
        <v>583</v>
      </c>
      <c r="B586" s="15" t="n">
        <f aca="false">MAX(0,B585+C586-D586)</f>
        <v>0</v>
      </c>
      <c r="C586" s="15" t="n">
        <f aca="false">IF(B585&lt;=0.005,0,B585*Compare!$B$4/12)</f>
        <v>0</v>
      </c>
      <c r="D586" s="15" t="n">
        <f aca="false">IF(B585&lt;=0.005,0,MIN(B585+C586,MAX(Compare!$B$7,B585*Compare!$B$5+IF(Compare!$B$6="Yes",C586,0))))</f>
        <v>0</v>
      </c>
      <c r="E586" s="15" t="n">
        <f aca="false">MAX(0,E585+F586-G586)</f>
        <v>0</v>
      </c>
      <c r="F586" s="15" t="n">
        <f aca="false">IF(E585&lt;=0.005,0,E585*Compare!$B$4/12)</f>
        <v>0</v>
      </c>
      <c r="G586" s="15" t="n">
        <f aca="false">IF(E585&lt;=0.005,0,MIN(E585+F586,Compare!$B$9))</f>
        <v>0</v>
      </c>
      <c r="H586" s="15" t="n">
        <f aca="false">MAX(0,H585+I586-J586)</f>
        <v>0</v>
      </c>
      <c r="I586" s="15" t="n">
        <f aca="false">IF(H585&lt;=0.005,0,H585*Compare!$B$4/12)</f>
        <v>0</v>
      </c>
      <c r="J586" s="15" t="n">
        <f aca="false">IF(H585&lt;=0.005,0,MIN(H585+I586,Compare!$B$9+Compare!$B$8))</f>
        <v>0</v>
      </c>
    </row>
    <row r="587" customFormat="false" ht="15" hidden="false" customHeight="false" outlineLevel="0" collapsed="false">
      <c r="A587" s="3" t="n">
        <v>584</v>
      </c>
      <c r="B587" s="15" t="n">
        <f aca="false">MAX(0,B586+C587-D587)</f>
        <v>0</v>
      </c>
      <c r="C587" s="15" t="n">
        <f aca="false">IF(B586&lt;=0.005,0,B586*Compare!$B$4/12)</f>
        <v>0</v>
      </c>
      <c r="D587" s="15" t="n">
        <f aca="false">IF(B586&lt;=0.005,0,MIN(B586+C587,MAX(Compare!$B$7,B586*Compare!$B$5+IF(Compare!$B$6="Yes",C587,0))))</f>
        <v>0</v>
      </c>
      <c r="E587" s="15" t="n">
        <f aca="false">MAX(0,E586+F587-G587)</f>
        <v>0</v>
      </c>
      <c r="F587" s="15" t="n">
        <f aca="false">IF(E586&lt;=0.005,0,E586*Compare!$B$4/12)</f>
        <v>0</v>
      </c>
      <c r="G587" s="15" t="n">
        <f aca="false">IF(E586&lt;=0.005,0,MIN(E586+F587,Compare!$B$9))</f>
        <v>0</v>
      </c>
      <c r="H587" s="15" t="n">
        <f aca="false">MAX(0,H586+I587-J587)</f>
        <v>0</v>
      </c>
      <c r="I587" s="15" t="n">
        <f aca="false">IF(H586&lt;=0.005,0,H586*Compare!$B$4/12)</f>
        <v>0</v>
      </c>
      <c r="J587" s="15" t="n">
        <f aca="false">IF(H586&lt;=0.005,0,MIN(H586+I587,Compare!$B$9+Compare!$B$8))</f>
        <v>0</v>
      </c>
    </row>
    <row r="588" customFormat="false" ht="15" hidden="false" customHeight="false" outlineLevel="0" collapsed="false">
      <c r="A588" s="3" t="n">
        <v>585</v>
      </c>
      <c r="B588" s="15" t="n">
        <f aca="false">MAX(0,B587+C588-D588)</f>
        <v>0</v>
      </c>
      <c r="C588" s="15" t="n">
        <f aca="false">IF(B587&lt;=0.005,0,B587*Compare!$B$4/12)</f>
        <v>0</v>
      </c>
      <c r="D588" s="15" t="n">
        <f aca="false">IF(B587&lt;=0.005,0,MIN(B587+C588,MAX(Compare!$B$7,B587*Compare!$B$5+IF(Compare!$B$6="Yes",C588,0))))</f>
        <v>0</v>
      </c>
      <c r="E588" s="15" t="n">
        <f aca="false">MAX(0,E587+F588-G588)</f>
        <v>0</v>
      </c>
      <c r="F588" s="15" t="n">
        <f aca="false">IF(E587&lt;=0.005,0,E587*Compare!$B$4/12)</f>
        <v>0</v>
      </c>
      <c r="G588" s="15" t="n">
        <f aca="false">IF(E587&lt;=0.005,0,MIN(E587+F588,Compare!$B$9))</f>
        <v>0</v>
      </c>
      <c r="H588" s="15" t="n">
        <f aca="false">MAX(0,H587+I588-J588)</f>
        <v>0</v>
      </c>
      <c r="I588" s="15" t="n">
        <f aca="false">IF(H587&lt;=0.005,0,H587*Compare!$B$4/12)</f>
        <v>0</v>
      </c>
      <c r="J588" s="15" t="n">
        <f aca="false">IF(H587&lt;=0.005,0,MIN(H587+I588,Compare!$B$9+Compare!$B$8))</f>
        <v>0</v>
      </c>
    </row>
    <row r="589" customFormat="false" ht="15" hidden="false" customHeight="false" outlineLevel="0" collapsed="false">
      <c r="A589" s="3" t="n">
        <v>586</v>
      </c>
      <c r="B589" s="15" t="n">
        <f aca="false">MAX(0,B588+C589-D589)</f>
        <v>0</v>
      </c>
      <c r="C589" s="15" t="n">
        <f aca="false">IF(B588&lt;=0.005,0,B588*Compare!$B$4/12)</f>
        <v>0</v>
      </c>
      <c r="D589" s="15" t="n">
        <f aca="false">IF(B588&lt;=0.005,0,MIN(B588+C589,MAX(Compare!$B$7,B588*Compare!$B$5+IF(Compare!$B$6="Yes",C589,0))))</f>
        <v>0</v>
      </c>
      <c r="E589" s="15" t="n">
        <f aca="false">MAX(0,E588+F589-G589)</f>
        <v>0</v>
      </c>
      <c r="F589" s="15" t="n">
        <f aca="false">IF(E588&lt;=0.005,0,E588*Compare!$B$4/12)</f>
        <v>0</v>
      </c>
      <c r="G589" s="15" t="n">
        <f aca="false">IF(E588&lt;=0.005,0,MIN(E588+F589,Compare!$B$9))</f>
        <v>0</v>
      </c>
      <c r="H589" s="15" t="n">
        <f aca="false">MAX(0,H588+I589-J589)</f>
        <v>0</v>
      </c>
      <c r="I589" s="15" t="n">
        <f aca="false">IF(H588&lt;=0.005,0,H588*Compare!$B$4/12)</f>
        <v>0</v>
      </c>
      <c r="J589" s="15" t="n">
        <f aca="false">IF(H588&lt;=0.005,0,MIN(H588+I589,Compare!$B$9+Compare!$B$8))</f>
        <v>0</v>
      </c>
    </row>
    <row r="590" customFormat="false" ht="15" hidden="false" customHeight="false" outlineLevel="0" collapsed="false">
      <c r="A590" s="3" t="n">
        <v>587</v>
      </c>
      <c r="B590" s="15" t="n">
        <f aca="false">MAX(0,B589+C590-D590)</f>
        <v>0</v>
      </c>
      <c r="C590" s="15" t="n">
        <f aca="false">IF(B589&lt;=0.005,0,B589*Compare!$B$4/12)</f>
        <v>0</v>
      </c>
      <c r="D590" s="15" t="n">
        <f aca="false">IF(B589&lt;=0.005,0,MIN(B589+C590,MAX(Compare!$B$7,B589*Compare!$B$5+IF(Compare!$B$6="Yes",C590,0))))</f>
        <v>0</v>
      </c>
      <c r="E590" s="15" t="n">
        <f aca="false">MAX(0,E589+F590-G590)</f>
        <v>0</v>
      </c>
      <c r="F590" s="15" t="n">
        <f aca="false">IF(E589&lt;=0.005,0,E589*Compare!$B$4/12)</f>
        <v>0</v>
      </c>
      <c r="G590" s="15" t="n">
        <f aca="false">IF(E589&lt;=0.005,0,MIN(E589+F590,Compare!$B$9))</f>
        <v>0</v>
      </c>
      <c r="H590" s="15" t="n">
        <f aca="false">MAX(0,H589+I590-J590)</f>
        <v>0</v>
      </c>
      <c r="I590" s="15" t="n">
        <f aca="false">IF(H589&lt;=0.005,0,H589*Compare!$B$4/12)</f>
        <v>0</v>
      </c>
      <c r="J590" s="15" t="n">
        <f aca="false">IF(H589&lt;=0.005,0,MIN(H589+I590,Compare!$B$9+Compare!$B$8))</f>
        <v>0</v>
      </c>
    </row>
    <row r="591" customFormat="false" ht="15" hidden="false" customHeight="false" outlineLevel="0" collapsed="false">
      <c r="A591" s="3" t="n">
        <v>588</v>
      </c>
      <c r="B591" s="15" t="n">
        <f aca="false">MAX(0,B590+C591-D591)</f>
        <v>0</v>
      </c>
      <c r="C591" s="15" t="n">
        <f aca="false">IF(B590&lt;=0.005,0,B590*Compare!$B$4/12)</f>
        <v>0</v>
      </c>
      <c r="D591" s="15" t="n">
        <f aca="false">IF(B590&lt;=0.005,0,MIN(B590+C591,MAX(Compare!$B$7,B590*Compare!$B$5+IF(Compare!$B$6="Yes",C591,0))))</f>
        <v>0</v>
      </c>
      <c r="E591" s="15" t="n">
        <f aca="false">MAX(0,E590+F591-G591)</f>
        <v>0</v>
      </c>
      <c r="F591" s="15" t="n">
        <f aca="false">IF(E590&lt;=0.005,0,E590*Compare!$B$4/12)</f>
        <v>0</v>
      </c>
      <c r="G591" s="15" t="n">
        <f aca="false">IF(E590&lt;=0.005,0,MIN(E590+F591,Compare!$B$9))</f>
        <v>0</v>
      </c>
      <c r="H591" s="15" t="n">
        <f aca="false">MAX(0,H590+I591-J591)</f>
        <v>0</v>
      </c>
      <c r="I591" s="15" t="n">
        <f aca="false">IF(H590&lt;=0.005,0,H590*Compare!$B$4/12)</f>
        <v>0</v>
      </c>
      <c r="J591" s="15" t="n">
        <f aca="false">IF(H590&lt;=0.005,0,MIN(H590+I591,Compare!$B$9+Compare!$B$8))</f>
        <v>0</v>
      </c>
    </row>
    <row r="592" customFormat="false" ht="15" hidden="false" customHeight="false" outlineLevel="0" collapsed="false">
      <c r="A592" s="3" t="n">
        <v>589</v>
      </c>
      <c r="B592" s="15" t="n">
        <f aca="false">MAX(0,B591+C592-D592)</f>
        <v>0</v>
      </c>
      <c r="C592" s="15" t="n">
        <f aca="false">IF(B591&lt;=0.005,0,B591*Compare!$B$4/12)</f>
        <v>0</v>
      </c>
      <c r="D592" s="15" t="n">
        <f aca="false">IF(B591&lt;=0.005,0,MIN(B591+C592,MAX(Compare!$B$7,B591*Compare!$B$5+IF(Compare!$B$6="Yes",C592,0))))</f>
        <v>0</v>
      </c>
      <c r="E592" s="15" t="n">
        <f aca="false">MAX(0,E591+F592-G592)</f>
        <v>0</v>
      </c>
      <c r="F592" s="15" t="n">
        <f aca="false">IF(E591&lt;=0.005,0,E591*Compare!$B$4/12)</f>
        <v>0</v>
      </c>
      <c r="G592" s="15" t="n">
        <f aca="false">IF(E591&lt;=0.005,0,MIN(E591+F592,Compare!$B$9))</f>
        <v>0</v>
      </c>
      <c r="H592" s="15" t="n">
        <f aca="false">MAX(0,H591+I592-J592)</f>
        <v>0</v>
      </c>
      <c r="I592" s="15" t="n">
        <f aca="false">IF(H591&lt;=0.005,0,H591*Compare!$B$4/12)</f>
        <v>0</v>
      </c>
      <c r="J592" s="15" t="n">
        <f aca="false">IF(H591&lt;=0.005,0,MIN(H591+I592,Compare!$B$9+Compare!$B$8))</f>
        <v>0</v>
      </c>
    </row>
    <row r="593" customFormat="false" ht="15" hidden="false" customHeight="false" outlineLevel="0" collapsed="false">
      <c r="A593" s="3" t="n">
        <v>590</v>
      </c>
      <c r="B593" s="15" t="n">
        <f aca="false">MAX(0,B592+C593-D593)</f>
        <v>0</v>
      </c>
      <c r="C593" s="15" t="n">
        <f aca="false">IF(B592&lt;=0.005,0,B592*Compare!$B$4/12)</f>
        <v>0</v>
      </c>
      <c r="D593" s="15" t="n">
        <f aca="false">IF(B592&lt;=0.005,0,MIN(B592+C593,MAX(Compare!$B$7,B592*Compare!$B$5+IF(Compare!$B$6="Yes",C593,0))))</f>
        <v>0</v>
      </c>
      <c r="E593" s="15" t="n">
        <f aca="false">MAX(0,E592+F593-G593)</f>
        <v>0</v>
      </c>
      <c r="F593" s="15" t="n">
        <f aca="false">IF(E592&lt;=0.005,0,E592*Compare!$B$4/12)</f>
        <v>0</v>
      </c>
      <c r="G593" s="15" t="n">
        <f aca="false">IF(E592&lt;=0.005,0,MIN(E592+F593,Compare!$B$9))</f>
        <v>0</v>
      </c>
      <c r="H593" s="15" t="n">
        <f aca="false">MAX(0,H592+I593-J593)</f>
        <v>0</v>
      </c>
      <c r="I593" s="15" t="n">
        <f aca="false">IF(H592&lt;=0.005,0,H592*Compare!$B$4/12)</f>
        <v>0</v>
      </c>
      <c r="J593" s="15" t="n">
        <f aca="false">IF(H592&lt;=0.005,0,MIN(H592+I593,Compare!$B$9+Compare!$B$8))</f>
        <v>0</v>
      </c>
    </row>
    <row r="594" customFormat="false" ht="15" hidden="false" customHeight="false" outlineLevel="0" collapsed="false">
      <c r="A594" s="3" t="n">
        <v>591</v>
      </c>
      <c r="B594" s="15" t="n">
        <f aca="false">MAX(0,B593+C594-D594)</f>
        <v>0</v>
      </c>
      <c r="C594" s="15" t="n">
        <f aca="false">IF(B593&lt;=0.005,0,B593*Compare!$B$4/12)</f>
        <v>0</v>
      </c>
      <c r="D594" s="15" t="n">
        <f aca="false">IF(B593&lt;=0.005,0,MIN(B593+C594,MAX(Compare!$B$7,B593*Compare!$B$5+IF(Compare!$B$6="Yes",C594,0))))</f>
        <v>0</v>
      </c>
      <c r="E594" s="15" t="n">
        <f aca="false">MAX(0,E593+F594-G594)</f>
        <v>0</v>
      </c>
      <c r="F594" s="15" t="n">
        <f aca="false">IF(E593&lt;=0.005,0,E593*Compare!$B$4/12)</f>
        <v>0</v>
      </c>
      <c r="G594" s="15" t="n">
        <f aca="false">IF(E593&lt;=0.005,0,MIN(E593+F594,Compare!$B$9))</f>
        <v>0</v>
      </c>
      <c r="H594" s="15" t="n">
        <f aca="false">MAX(0,H593+I594-J594)</f>
        <v>0</v>
      </c>
      <c r="I594" s="15" t="n">
        <f aca="false">IF(H593&lt;=0.005,0,H593*Compare!$B$4/12)</f>
        <v>0</v>
      </c>
      <c r="J594" s="15" t="n">
        <f aca="false">IF(H593&lt;=0.005,0,MIN(H593+I594,Compare!$B$9+Compare!$B$8))</f>
        <v>0</v>
      </c>
    </row>
    <row r="595" customFormat="false" ht="15" hidden="false" customHeight="false" outlineLevel="0" collapsed="false">
      <c r="A595" s="3" t="n">
        <v>592</v>
      </c>
      <c r="B595" s="15" t="n">
        <f aca="false">MAX(0,B594+C595-D595)</f>
        <v>0</v>
      </c>
      <c r="C595" s="15" t="n">
        <f aca="false">IF(B594&lt;=0.005,0,B594*Compare!$B$4/12)</f>
        <v>0</v>
      </c>
      <c r="D595" s="15" t="n">
        <f aca="false">IF(B594&lt;=0.005,0,MIN(B594+C595,MAX(Compare!$B$7,B594*Compare!$B$5+IF(Compare!$B$6="Yes",C595,0))))</f>
        <v>0</v>
      </c>
      <c r="E595" s="15" t="n">
        <f aca="false">MAX(0,E594+F595-G595)</f>
        <v>0</v>
      </c>
      <c r="F595" s="15" t="n">
        <f aca="false">IF(E594&lt;=0.005,0,E594*Compare!$B$4/12)</f>
        <v>0</v>
      </c>
      <c r="G595" s="15" t="n">
        <f aca="false">IF(E594&lt;=0.005,0,MIN(E594+F595,Compare!$B$9))</f>
        <v>0</v>
      </c>
      <c r="H595" s="15" t="n">
        <f aca="false">MAX(0,H594+I595-J595)</f>
        <v>0</v>
      </c>
      <c r="I595" s="15" t="n">
        <f aca="false">IF(H594&lt;=0.005,0,H594*Compare!$B$4/12)</f>
        <v>0</v>
      </c>
      <c r="J595" s="15" t="n">
        <f aca="false">IF(H594&lt;=0.005,0,MIN(H594+I595,Compare!$B$9+Compare!$B$8))</f>
        <v>0</v>
      </c>
    </row>
    <row r="596" customFormat="false" ht="15" hidden="false" customHeight="false" outlineLevel="0" collapsed="false">
      <c r="A596" s="3" t="n">
        <v>593</v>
      </c>
      <c r="B596" s="15" t="n">
        <f aca="false">MAX(0,B595+C596-D596)</f>
        <v>0</v>
      </c>
      <c r="C596" s="15" t="n">
        <f aca="false">IF(B595&lt;=0.005,0,B595*Compare!$B$4/12)</f>
        <v>0</v>
      </c>
      <c r="D596" s="15" t="n">
        <f aca="false">IF(B595&lt;=0.005,0,MIN(B595+C596,MAX(Compare!$B$7,B595*Compare!$B$5+IF(Compare!$B$6="Yes",C596,0))))</f>
        <v>0</v>
      </c>
      <c r="E596" s="15" t="n">
        <f aca="false">MAX(0,E595+F596-G596)</f>
        <v>0</v>
      </c>
      <c r="F596" s="15" t="n">
        <f aca="false">IF(E595&lt;=0.005,0,E595*Compare!$B$4/12)</f>
        <v>0</v>
      </c>
      <c r="G596" s="15" t="n">
        <f aca="false">IF(E595&lt;=0.005,0,MIN(E595+F596,Compare!$B$9))</f>
        <v>0</v>
      </c>
      <c r="H596" s="15" t="n">
        <f aca="false">MAX(0,H595+I596-J596)</f>
        <v>0</v>
      </c>
      <c r="I596" s="15" t="n">
        <f aca="false">IF(H595&lt;=0.005,0,H595*Compare!$B$4/12)</f>
        <v>0</v>
      </c>
      <c r="J596" s="15" t="n">
        <f aca="false">IF(H595&lt;=0.005,0,MIN(H595+I596,Compare!$B$9+Compare!$B$8))</f>
        <v>0</v>
      </c>
    </row>
    <row r="597" customFormat="false" ht="15" hidden="false" customHeight="false" outlineLevel="0" collapsed="false">
      <c r="A597" s="3" t="n">
        <v>594</v>
      </c>
      <c r="B597" s="15" t="n">
        <f aca="false">MAX(0,B596+C597-D597)</f>
        <v>0</v>
      </c>
      <c r="C597" s="15" t="n">
        <f aca="false">IF(B596&lt;=0.005,0,B596*Compare!$B$4/12)</f>
        <v>0</v>
      </c>
      <c r="D597" s="15" t="n">
        <f aca="false">IF(B596&lt;=0.005,0,MIN(B596+C597,MAX(Compare!$B$7,B596*Compare!$B$5+IF(Compare!$B$6="Yes",C597,0))))</f>
        <v>0</v>
      </c>
      <c r="E597" s="15" t="n">
        <f aca="false">MAX(0,E596+F597-G597)</f>
        <v>0</v>
      </c>
      <c r="F597" s="15" t="n">
        <f aca="false">IF(E596&lt;=0.005,0,E596*Compare!$B$4/12)</f>
        <v>0</v>
      </c>
      <c r="G597" s="15" t="n">
        <f aca="false">IF(E596&lt;=0.005,0,MIN(E596+F597,Compare!$B$9))</f>
        <v>0</v>
      </c>
      <c r="H597" s="15" t="n">
        <f aca="false">MAX(0,H596+I597-J597)</f>
        <v>0</v>
      </c>
      <c r="I597" s="15" t="n">
        <f aca="false">IF(H596&lt;=0.005,0,H596*Compare!$B$4/12)</f>
        <v>0</v>
      </c>
      <c r="J597" s="15" t="n">
        <f aca="false">IF(H596&lt;=0.005,0,MIN(H596+I597,Compare!$B$9+Compare!$B$8))</f>
        <v>0</v>
      </c>
    </row>
    <row r="598" customFormat="false" ht="15" hidden="false" customHeight="false" outlineLevel="0" collapsed="false">
      <c r="A598" s="3" t="n">
        <v>595</v>
      </c>
      <c r="B598" s="15" t="n">
        <f aca="false">MAX(0,B597+C598-D598)</f>
        <v>0</v>
      </c>
      <c r="C598" s="15" t="n">
        <f aca="false">IF(B597&lt;=0.005,0,B597*Compare!$B$4/12)</f>
        <v>0</v>
      </c>
      <c r="D598" s="15" t="n">
        <f aca="false">IF(B597&lt;=0.005,0,MIN(B597+C598,MAX(Compare!$B$7,B597*Compare!$B$5+IF(Compare!$B$6="Yes",C598,0))))</f>
        <v>0</v>
      </c>
      <c r="E598" s="15" t="n">
        <f aca="false">MAX(0,E597+F598-G598)</f>
        <v>0</v>
      </c>
      <c r="F598" s="15" t="n">
        <f aca="false">IF(E597&lt;=0.005,0,E597*Compare!$B$4/12)</f>
        <v>0</v>
      </c>
      <c r="G598" s="15" t="n">
        <f aca="false">IF(E597&lt;=0.005,0,MIN(E597+F598,Compare!$B$9))</f>
        <v>0</v>
      </c>
      <c r="H598" s="15" t="n">
        <f aca="false">MAX(0,H597+I598-J598)</f>
        <v>0</v>
      </c>
      <c r="I598" s="15" t="n">
        <f aca="false">IF(H597&lt;=0.005,0,H597*Compare!$B$4/12)</f>
        <v>0</v>
      </c>
      <c r="J598" s="15" t="n">
        <f aca="false">IF(H597&lt;=0.005,0,MIN(H597+I598,Compare!$B$9+Compare!$B$8))</f>
        <v>0</v>
      </c>
    </row>
    <row r="599" customFormat="false" ht="15" hidden="false" customHeight="false" outlineLevel="0" collapsed="false">
      <c r="A599" s="3" t="n">
        <v>596</v>
      </c>
      <c r="B599" s="15" t="n">
        <f aca="false">MAX(0,B598+C599-D599)</f>
        <v>0</v>
      </c>
      <c r="C599" s="15" t="n">
        <f aca="false">IF(B598&lt;=0.005,0,B598*Compare!$B$4/12)</f>
        <v>0</v>
      </c>
      <c r="D599" s="15" t="n">
        <f aca="false">IF(B598&lt;=0.005,0,MIN(B598+C599,MAX(Compare!$B$7,B598*Compare!$B$5+IF(Compare!$B$6="Yes",C599,0))))</f>
        <v>0</v>
      </c>
      <c r="E599" s="15" t="n">
        <f aca="false">MAX(0,E598+F599-G599)</f>
        <v>0</v>
      </c>
      <c r="F599" s="15" t="n">
        <f aca="false">IF(E598&lt;=0.005,0,E598*Compare!$B$4/12)</f>
        <v>0</v>
      </c>
      <c r="G599" s="15" t="n">
        <f aca="false">IF(E598&lt;=0.005,0,MIN(E598+F599,Compare!$B$9))</f>
        <v>0</v>
      </c>
      <c r="H599" s="15" t="n">
        <f aca="false">MAX(0,H598+I599-J599)</f>
        <v>0</v>
      </c>
      <c r="I599" s="15" t="n">
        <f aca="false">IF(H598&lt;=0.005,0,H598*Compare!$B$4/12)</f>
        <v>0</v>
      </c>
      <c r="J599" s="15" t="n">
        <f aca="false">IF(H598&lt;=0.005,0,MIN(H598+I599,Compare!$B$9+Compare!$B$8))</f>
        <v>0</v>
      </c>
    </row>
    <row r="600" customFormat="false" ht="15" hidden="false" customHeight="false" outlineLevel="0" collapsed="false">
      <c r="A600" s="3" t="n">
        <v>597</v>
      </c>
      <c r="B600" s="15" t="n">
        <f aca="false">MAX(0,B599+C600-D600)</f>
        <v>0</v>
      </c>
      <c r="C600" s="15" t="n">
        <f aca="false">IF(B599&lt;=0.005,0,B599*Compare!$B$4/12)</f>
        <v>0</v>
      </c>
      <c r="D600" s="15" t="n">
        <f aca="false">IF(B599&lt;=0.005,0,MIN(B599+C600,MAX(Compare!$B$7,B599*Compare!$B$5+IF(Compare!$B$6="Yes",C600,0))))</f>
        <v>0</v>
      </c>
      <c r="E600" s="15" t="n">
        <f aca="false">MAX(0,E599+F600-G600)</f>
        <v>0</v>
      </c>
      <c r="F600" s="15" t="n">
        <f aca="false">IF(E599&lt;=0.005,0,E599*Compare!$B$4/12)</f>
        <v>0</v>
      </c>
      <c r="G600" s="15" t="n">
        <f aca="false">IF(E599&lt;=0.005,0,MIN(E599+F600,Compare!$B$9))</f>
        <v>0</v>
      </c>
      <c r="H600" s="15" t="n">
        <f aca="false">MAX(0,H599+I600-J600)</f>
        <v>0</v>
      </c>
      <c r="I600" s="15" t="n">
        <f aca="false">IF(H599&lt;=0.005,0,H599*Compare!$B$4/12)</f>
        <v>0</v>
      </c>
      <c r="J600" s="15" t="n">
        <f aca="false">IF(H599&lt;=0.005,0,MIN(H599+I600,Compare!$B$9+Compare!$B$8))</f>
        <v>0</v>
      </c>
    </row>
    <row r="601" customFormat="false" ht="15" hidden="false" customHeight="false" outlineLevel="0" collapsed="false">
      <c r="A601" s="3" t="n">
        <v>598</v>
      </c>
      <c r="B601" s="15" t="n">
        <f aca="false">MAX(0,B600+C601-D601)</f>
        <v>0</v>
      </c>
      <c r="C601" s="15" t="n">
        <f aca="false">IF(B600&lt;=0.005,0,B600*Compare!$B$4/12)</f>
        <v>0</v>
      </c>
      <c r="D601" s="15" t="n">
        <f aca="false">IF(B600&lt;=0.005,0,MIN(B600+C601,MAX(Compare!$B$7,B600*Compare!$B$5+IF(Compare!$B$6="Yes",C601,0))))</f>
        <v>0</v>
      </c>
      <c r="E601" s="15" t="n">
        <f aca="false">MAX(0,E600+F601-G601)</f>
        <v>0</v>
      </c>
      <c r="F601" s="15" t="n">
        <f aca="false">IF(E600&lt;=0.005,0,E600*Compare!$B$4/12)</f>
        <v>0</v>
      </c>
      <c r="G601" s="15" t="n">
        <f aca="false">IF(E600&lt;=0.005,0,MIN(E600+F601,Compare!$B$9))</f>
        <v>0</v>
      </c>
      <c r="H601" s="15" t="n">
        <f aca="false">MAX(0,H600+I601-J601)</f>
        <v>0</v>
      </c>
      <c r="I601" s="15" t="n">
        <f aca="false">IF(H600&lt;=0.005,0,H600*Compare!$B$4/12)</f>
        <v>0</v>
      </c>
      <c r="J601" s="15" t="n">
        <f aca="false">IF(H600&lt;=0.005,0,MIN(H600+I601,Compare!$B$9+Compare!$B$8))</f>
        <v>0</v>
      </c>
    </row>
    <row r="602" customFormat="false" ht="15" hidden="false" customHeight="false" outlineLevel="0" collapsed="false">
      <c r="A602" s="3" t="n">
        <v>599</v>
      </c>
      <c r="B602" s="15" t="n">
        <f aca="false">MAX(0,B601+C602-D602)</f>
        <v>0</v>
      </c>
      <c r="C602" s="15" t="n">
        <f aca="false">IF(B601&lt;=0.005,0,B601*Compare!$B$4/12)</f>
        <v>0</v>
      </c>
      <c r="D602" s="15" t="n">
        <f aca="false">IF(B601&lt;=0.005,0,MIN(B601+C602,MAX(Compare!$B$7,B601*Compare!$B$5+IF(Compare!$B$6="Yes",C602,0))))</f>
        <v>0</v>
      </c>
      <c r="E602" s="15" t="n">
        <f aca="false">MAX(0,E601+F602-G602)</f>
        <v>0</v>
      </c>
      <c r="F602" s="15" t="n">
        <f aca="false">IF(E601&lt;=0.005,0,E601*Compare!$B$4/12)</f>
        <v>0</v>
      </c>
      <c r="G602" s="15" t="n">
        <f aca="false">IF(E601&lt;=0.005,0,MIN(E601+F602,Compare!$B$9))</f>
        <v>0</v>
      </c>
      <c r="H602" s="15" t="n">
        <f aca="false">MAX(0,H601+I602-J602)</f>
        <v>0</v>
      </c>
      <c r="I602" s="15" t="n">
        <f aca="false">IF(H601&lt;=0.005,0,H601*Compare!$B$4/12)</f>
        <v>0</v>
      </c>
      <c r="J602" s="15" t="n">
        <f aca="false">IF(H601&lt;=0.005,0,MIN(H601+I602,Compare!$B$9+Compare!$B$8))</f>
        <v>0</v>
      </c>
    </row>
    <row r="603" customFormat="false" ht="15" hidden="false" customHeight="false" outlineLevel="0" collapsed="false">
      <c r="A603" s="3" t="n">
        <v>600</v>
      </c>
      <c r="B603" s="15" t="n">
        <f aca="false">MAX(0,B602+C603-D603)</f>
        <v>0</v>
      </c>
      <c r="C603" s="15" t="n">
        <f aca="false">IF(B602&lt;=0.005,0,B602*Compare!$B$4/12)</f>
        <v>0</v>
      </c>
      <c r="D603" s="15" t="n">
        <f aca="false">IF(B602&lt;=0.005,0,MIN(B602+C603,MAX(Compare!$B$7,B602*Compare!$B$5+IF(Compare!$B$6="Yes",C603,0))))</f>
        <v>0</v>
      </c>
      <c r="E603" s="15" t="n">
        <f aca="false">MAX(0,E602+F603-G603)</f>
        <v>0</v>
      </c>
      <c r="F603" s="15" t="n">
        <f aca="false">IF(E602&lt;=0.005,0,E602*Compare!$B$4/12)</f>
        <v>0</v>
      </c>
      <c r="G603" s="15" t="n">
        <f aca="false">IF(E602&lt;=0.005,0,MIN(E602+F603,Compare!$B$9))</f>
        <v>0</v>
      </c>
      <c r="H603" s="15" t="n">
        <f aca="false">MAX(0,H602+I603-J603)</f>
        <v>0</v>
      </c>
      <c r="I603" s="15" t="n">
        <f aca="false">IF(H602&lt;=0.005,0,H602*Compare!$B$4/12)</f>
        <v>0</v>
      </c>
      <c r="J603" s="15" t="n">
        <f aca="false">IF(H602&lt;=0.005,0,MIN(H602+I603,Compare!$B$9+Compare!$B$8))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