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Fun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<sst xmlns="http://schemas.openxmlformats.org/spreadsheetml/2006/main" count="29" uniqueCount="29">
  <si>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Sinking funds planner</t>
  </si>
  <si>
    <t xml:space="preserve">How to use it</t>
  </si>
  <si>
    <t xml:space="preserve">1. On the Funds tab, type the first day of the current month.</t>
  </si>
  <si>
    <t xml:space="preserve">2. List every cost you know is coming that is not monthly: insurance, gifts, fees, repairs, renewals.</t>
  </si>
  <si>
    <t xml:space="preserve">3. Type how much each one costs, when it is due, and anything you have already put aside.</t>
  </si>
  <si>
    <t xml:space="preserve">4. The sheet works out how much to set aside each month for each cost, and the total.</t>
  </si>
  <si>
    <t xml:space="preserve">5. Update "Already saved" once a month when you move the money.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</si>
  <si>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</si>
  <si>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</si>
  <si>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https://guidelark.com/blog/sinking-funds-spreadsheet/</t>
  </si>
  <si>
    <t xml:space="preserve">Free to use and share. General information, not financial advice.</t>
  </si>
  <si>
    <t xml:space="preserve">Sinking funds</t>
  </si>
  <si>
    <t xml:space="preserve">This month</t>
  </si>
  <si>
    <t xml:space="preserve">Type the 1st of the current month.</t>
  </si>
  <si>
    <t xml:space="preserve">Cost</t>
  </si>
  <si>
    <t xml:space="preserve">Amount</t>
  </si>
  <si>
    <t xml:space="preserve">Due date</t>
  </si>
  <si>
    <t xml:space="preserve">Already saved</t>
  </si>
  <si>
    <t xml:space="preserve">Months to go</t>
  </si>
  <si>
    <t xml:space="preserve">Set aside each month</t>
  </si>
  <si>
    <t xml:space="preserve">Holiday gifts</t>
  </si>
  <si>
    <t xml:space="preserve">Annual subscription</t>
  </si>
  <si>
    <t xml:space="preserve">Clothes</t>
  </si>
  <si>
    <t xml:space="preserve">Car insurance</t>
  </si>
  <si>
    <t xml:space="preserve">Exam fees</t>
  </si>
  <si>
    <t xml:space="preserve">Phone replacement</t>
  </si>
  <si>
    <t xml:space="preserve">Total</t>
  </si>
  <si>
    <t xml:space="preserve">Set aside this month in total</t>
  </si>
  <si>
    <t xml:space="preserve">Move this into a separate savings account on payday.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</si>
</sst>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[RED]&quot;-$&quot;#,##0.00;\-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46296</v>
      </c>
      <c r="C3" s="6" t="s">
        <v>13</v>
      </c>
    </row>
    <row r="5" customFormat="false" ht="30" hidden="false" customHeight="true" outlineLevel="0" collapsed="false">
      <c r="A5" s="7" t="s">
        <v>14</v>
      </c>
      <c r="B5" s="8" t="s">
        <v>15</v>
      </c>
      <c r="C5" s="7" t="s">
        <v>16</v>
      </c>
      <c r="D5" s="8" t="s">
        <v>17</v>
      </c>
      <c r="E5" s="8" t="s">
        <v>18</v>
      </c>
      <c r="F5" s="8" t="s">
        <v>19</v>
      </c>
    </row>
    <row r="6" customFormat="false" ht="15" hidden="false" customHeight="false" outlineLevel="0" collapsed="false">
      <c r="A6" s="9" t="s">
        <v>20</v>
      </c>
      <c r="B6" s="10" t="n">
        <v>240</v>
      </c>
      <c r="C6" s="11" t="n">
        <v>46371</v>
      </c>
      <c r="D6" s="10" t="n">
        <v>60</v>
      </c>
      <c r="E6" s="12" t="n">
        <f aca="false">IF(C6="","",IF(C6&lt;=$B$3,1,MAX(1,(YEAR(C6)-YEAR($B$3))*12+MONTH(C6)-MONTH($B$3))))</f>
        <v>2</v>
      </c>
      <c r="F6" s="13" t="n">
        <f aca="false">IF(A6="","",MAX(0,N(B6)-N(D6))/E6)</f>
        <v>90</v>
      </c>
    </row>
    <row r="7" customFormat="false" ht="15" hidden="false" customHeight="false" outlineLevel="0" collapsed="false">
      <c r="A7" s="9" t="s">
        <v>21</v>
      </c>
      <c r="B7" s="10" t="n">
        <v>120</v>
      </c>
      <c r="C7" s="11" t="n">
        <v>46419</v>
      </c>
      <c r="D7" s="10" t="n">
        <v>0</v>
      </c>
      <c r="E7" s="12" t="n">
        <f aca="false">IF(C7="","",IF(C7&lt;=$B$3,1,MAX(1,(YEAR(C7)-YEAR($B$3))*12+MONTH(C7)-MONTH($B$3))))</f>
        <v>4</v>
      </c>
      <c r="F7" s="13" t="n">
        <f aca="false">IF(A7="","",MAX(0,N(B7)-N(D7))/E7)</f>
        <v>30</v>
      </c>
    </row>
    <row r="8" customFormat="false" ht="15" hidden="false" customHeight="false" outlineLevel="0" collapsed="false">
      <c r="A8" s="9" t="s">
        <v>22</v>
      </c>
      <c r="B8" s="10" t="n">
        <v>180</v>
      </c>
      <c r="C8" s="11" t="n">
        <v>46447</v>
      </c>
      <c r="D8" s="10" t="n">
        <v>0</v>
      </c>
      <c r="E8" s="12" t="n">
        <f aca="false">IF(C8="","",IF(C8&lt;=$B$3,1,MAX(1,(YEAR(C8)-YEAR($B$3))*12+MONTH(C8)-MONTH($B$3))))</f>
        <v>5</v>
      </c>
      <c r="F8" s="13" t="n">
        <f aca="false">IF(A8="","",MAX(0,N(B8)-N(D8))/E8)</f>
        <v>36</v>
      </c>
    </row>
    <row r="9" customFormat="false" ht="15" hidden="false" customHeight="false" outlineLevel="0" collapsed="false">
      <c r="A9" s="9" t="s">
        <v>23</v>
      </c>
      <c r="B9" s="10" t="n">
        <v>600</v>
      </c>
      <c r="C9" s="11" t="n">
        <v>46492</v>
      </c>
      <c r="D9" s="10" t="n">
        <v>150</v>
      </c>
      <c r="E9" s="12" t="n">
        <f aca="false">IF(C9="","",IF(C9&lt;=$B$3,1,MAX(1,(YEAR(C9)-YEAR($B$3))*12+MONTH(C9)-MONTH($B$3))))</f>
        <v>6</v>
      </c>
      <c r="F9" s="13" t="n">
        <f aca="false">IF(A9="","",MAX(0,N(B9)-N(D9))/E9)</f>
        <v>75</v>
      </c>
    </row>
    <row r="10" customFormat="false" ht="15" hidden="false" customHeight="false" outlineLevel="0" collapsed="false">
      <c r="A10" s="9" t="s">
        <v>24</v>
      </c>
      <c r="B10" s="10" t="n">
        <v>150</v>
      </c>
      <c r="C10" s="11" t="n">
        <v>46508</v>
      </c>
      <c r="D10" s="10" t="n">
        <v>0</v>
      </c>
      <c r="E10" s="12" t="n">
        <f aca="false">IF(C10="","",IF(C10&lt;=$B$3,1,MAX(1,(YEAR(C10)-YEAR($B$3))*12+MONTH(C10)-MONTH($B$3))))</f>
        <v>7</v>
      </c>
      <c r="F10" s="13" t="n">
        <f aca="false">IF(A10="","",MAX(0,N(B10)-N(D10))/E10)</f>
        <v>21.4285714285714</v>
      </c>
    </row>
    <row r="11" customFormat="false" ht="15" hidden="false" customHeight="false" outlineLevel="0" collapsed="false">
      <c r="A11" s="9" t="s">
        <v>25</v>
      </c>
      <c r="B11" s="10" t="n">
        <v>300</v>
      </c>
      <c r="C11" s="11" t="n">
        <v>46631</v>
      </c>
      <c r="D11" s="10" t="n">
        <v>50</v>
      </c>
      <c r="E11" s="12" t="n">
        <f aca="false">IF(C11="","",IF(C11&lt;=$B$3,1,MAX(1,(YEAR(C11)-YEAR($B$3))*12+MONTH(C11)-MONTH($B$3))))</f>
        <v>11</v>
      </c>
      <c r="F11" s="13" t="n">
        <f aca="false">IF(A11="","",MAX(0,N(B11)-N(D11))/E11)</f>
        <v>22.7272727272727</v>
      </c>
    </row>
    <row r="12" customFormat="false" ht="15" hidden="false" customHeight="false" outlineLevel="0" collapsed="false">
      <c r="A12" s="9"/>
      <c r="B12" s="10"/>
      <c r="C12" s="11"/>
      <c r="D12" s="10"/>
      <c r="E12" s="12" t="str">
        <f aca="false">IF(C12="","",IF(C12&lt;=$B$3,1,MAX(1,(YEAR(C12)-YEAR($B$3))*12+MONTH(C12)-MONTH($B$3))))</f>
        <v/>
      </c>
      <c r="F12" s="13" t="str">
        <f aca="false">IF(A12="","",MAX(0,N(B12)-N(D12))/E12)</f>
        <v/>
      </c>
    </row>
    <row r="13" customFormat="false" ht="15" hidden="false" customHeight="false" outlineLevel="0" collapsed="false">
      <c r="A13" s="9"/>
      <c r="B13" s="10"/>
      <c r="C13" s="11"/>
      <c r="D13" s="10"/>
      <c r="E13" s="12" t="str">
        <f aca="false">IF(C13="","",IF(C13&lt;=$B$3,1,MAX(1,(YEAR(C13)-YEAR($B$3))*12+MONTH(C13)-MONTH($B$3))))</f>
        <v/>
      </c>
      <c r="F13" s="13" t="str">
        <f aca="false">IF(A13="","",MAX(0,N(B13)-N(D13))/E13)</f>
        <v/>
      </c>
    </row>
    <row r="14" customFormat="false" ht="15" hidden="false" customHeight="false" outlineLevel="0" collapsed="false">
      <c r="A14" s="9"/>
      <c r="B14" s="10"/>
      <c r="C14" s="11"/>
      <c r="D14" s="10"/>
      <c r="E14" s="12" t="str">
        <f aca="false">IF(C14="","",IF(C14&lt;=$B$3,1,MAX(1,(YEAR(C14)-YEAR($B$3))*12+MONTH(C14)-MONTH($B$3))))</f>
        <v/>
      </c>
      <c r="F14" s="13" t="str">
        <f aca="false">IF(A14="","",MAX(0,N(B14)-N(D14))/E14)</f>
        <v/>
      </c>
    </row>
    <row r="15" customFormat="false" ht="15" hidden="false" customHeight="false" outlineLevel="0" collapsed="false">
      <c r="A15" s="9"/>
      <c r="B15" s="10"/>
      <c r="C15" s="11"/>
      <c r="D15" s="10"/>
      <c r="E15" s="12" t="str">
        <f aca="false">IF(C15="","",IF(C15&lt;=$B$3,1,MAX(1,(YEAR(C15)-YEAR($B$3))*12+MONTH(C15)-MONTH($B$3))))</f>
        <v/>
      </c>
      <c r="F15" s="13" t="str">
        <f aca="false">IF(A15="","",MAX(0,N(B15)-N(D15))/E15)</f>
        <v/>
      </c>
    </row>
    <row r="16" customFormat="false" ht="15" hidden="false" customHeight="false" outlineLevel="0" collapsed="false">
      <c r="A16" s="9"/>
      <c r="B16" s="10"/>
      <c r="C16" s="11"/>
      <c r="D16" s="10"/>
      <c r="E16" s="12" t="str">
        <f aca="false">IF(C16="","",IF(C16&lt;=$B$3,1,MAX(1,(YEAR(C16)-YEAR($B$3))*12+MONTH(C16)-MONTH($B$3))))</f>
        <v/>
      </c>
      <c r="F16" s="13" t="str">
        <f aca="false">IF(A16="","",MAX(0,N(B16)-N(D16))/E16)</f>
        <v/>
      </c>
    </row>
    <row r="17" customFormat="false" ht="15" hidden="false" customHeight="false" outlineLevel="0" collapsed="false">
      <c r="A17" s="9"/>
      <c r="B17" s="10"/>
      <c r="C17" s="11"/>
      <c r="D17" s="10"/>
      <c r="E17" s="12" t="str">
        <f aca="false">IF(C17="","",IF(C17&lt;=$B$3,1,MAX(1,(YEAR(C17)-YEAR($B$3))*12+MONTH(C17)-MONTH($B$3))))</f>
        <v/>
      </c>
      <c r="F17" s="13" t="str">
        <f aca="false">IF(A17="","",MAX(0,N(B17)-N(D17))/E17)</f>
        <v/>
      </c>
    </row>
    <row r="18" customFormat="false" ht="15" hidden="false" customHeight="false" outlineLevel="0" collapsed="false">
      <c r="A18" s="14" t="s">
        <v>26</v>
      </c>
      <c r="B18" s="15" t="n">
        <f aca="false">SUM(B6:B17)</f>
        <v>1590</v>
      </c>
      <c r="C18" s="16"/>
      <c r="D18" s="15" t="n">
        <f aca="false">SUM(D6:D17)</f>
        <v>260</v>
      </c>
      <c r="E18" s="16"/>
      <c r="F18" s="15" t="n">
        <f aca="false">SUM(F6:F17)</f>
        <v>275.155844155844</v>
      </c>
    </row>
    <row r="20" customFormat="false" ht="15" hidden="false" customHeight="false" outlineLevel="0" collapsed="false">
      <c r="A20" s="4" t="s">
        <v>27</v>
      </c>
      <c r="B20" s="17" t="n">
        <f aca="false">F18</f>
        <v>275.155844155844</v>
      </c>
      <c r="C20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